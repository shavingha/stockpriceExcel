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H:\repos\doc\"/>
    </mc:Choice>
  </mc:AlternateContent>
  <xr:revisionPtr revIDLastSave="0" documentId="13_ncr:1_{A493E729-2667-4395-A3D6-31E3BA156736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  <sheet name="周期+估值" sheetId="19" state="hidden" r:id="rId2"/>
    <sheet name="Nasdaq History" sheetId="2" state="hidden" r:id="rId3"/>
    <sheet name="ShangHaiA" sheetId="3" state="hidden" r:id="rId4"/>
    <sheet name="HK" sheetId="4" state="hidden" r:id="rId5"/>
    <sheet name="国金_郑" sheetId="5" state="hidden" r:id="rId6"/>
    <sheet name="国金_爸" sheetId="6" state="hidden" r:id="rId7"/>
    <sheet name="国金打新_理财_华西期货" sheetId="7" state="hidden" r:id="rId8"/>
    <sheet name="华宝证券" sheetId="8" state="hidden" r:id="rId9"/>
    <sheet name="广发证券" sheetId="9" state="hidden" r:id="rId10"/>
    <sheet name="盈透证券" sheetId="10" state="hidden" r:id="rId11"/>
    <sheet name="华宝LTS" sheetId="12" state="hidden" r:id="rId12"/>
    <sheet name="养老定投" sheetId="13" state="hidden" r:id="rId13"/>
    <sheet name="股票池查询" sheetId="14" state="hidden" r:id="rId14"/>
    <sheet name="资金历史" sheetId="15" state="hidden" r:id="rId15"/>
    <sheet name="工资历史" sheetId="16" state="hidden" r:id="rId16"/>
    <sheet name="纳税清单" sheetId="17" state="hidden" r:id="rId17"/>
    <sheet name="交易量信息" sheetId="18" state="hidden" r:id="rId18"/>
  </sheets>
  <functionGroups builtInGroupCount="19"/>
  <definedNames>
    <definedName name="_xlnm._FilterDatabase" localSheetId="2" hidden="1">'Nasdaq History'!$A$1:$E$111</definedName>
    <definedName name="_xlnm._FilterDatabase" localSheetId="3" hidden="1">ShangHaiA!$A$1:$H$714</definedName>
    <definedName name="Z_1E41C6D1_1FF2_4EDC_93A7_39FD0856DDAE_.wvu.FilterData" localSheetId="2" hidden="1">'Nasdaq History'!$A$1:$E$111</definedName>
    <definedName name="Z_1E41C6D1_1FF2_4EDC_93A7_39FD0856DDAE_.wvu.FilterData" localSheetId="3" hidden="1">ShangHaiA!$A$1:$H$714</definedName>
    <definedName name="Z_2C754312_9D31_43A1_8D1D_F4080D321E7F_.wvu.Cols" localSheetId="0" hidden="1">股价更新!$Q:$Q</definedName>
    <definedName name="Z_2C754312_9D31_43A1_8D1D_F4080D321E7F_.wvu.FilterData" localSheetId="2" hidden="1">'Nasdaq History'!$A$1:$E$111</definedName>
    <definedName name="Z_2C754312_9D31_43A1_8D1D_F4080D321E7F_.wvu.FilterData" localSheetId="3" hidden="1">ShangHaiA!$A$1:$H$714</definedName>
  </definedNames>
  <calcPr calcId="191029"/>
  <customWorkbookViews>
    <customWorkbookView name="夏述维 - 个人视图" guid="{1E41C6D1-1FF2-4EDC-93A7-39FD0856DDAE}" mergeInterval="0" personalView="1" maximized="1" windowWidth="1916" windowHeight="836" activeSheetId="16"/>
    <customWorkbookView name="admin - 个人视图" guid="{2C754312-9D31-43A1-8D1D-F4080D321E7F}" mergeInterval="0" personalView="1" maximized="1" xWindow="1" yWindow="1" windowWidth="1920" windowHeight="83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10" i="1"/>
  <c r="D3" i="1"/>
  <c r="C10" i="1"/>
  <c r="C9" i="1"/>
  <c r="C7" i="1"/>
  <c r="C6" i="1"/>
  <c r="C4" i="1"/>
  <c r="C3" i="1"/>
  <c r="C5" i="1"/>
  <c r="C8" i="1"/>
  <c r="D8" i="1"/>
  <c r="D7" i="1"/>
  <c r="D5" i="1"/>
  <c r="D6" i="1"/>
  <c r="D4" i="1"/>
  <c r="C21" i="19" l="1"/>
  <c r="D21" i="19"/>
  <c r="E21" i="19"/>
  <c r="F21" i="19"/>
  <c r="G21" i="19"/>
  <c r="H21" i="19"/>
  <c r="I21" i="19"/>
  <c r="L21" i="19"/>
  <c r="K21" i="19"/>
  <c r="J21" i="19"/>
  <c r="B39" i="18" l="1"/>
  <c r="G184" i="17" l="1"/>
  <c r="F184" i="17"/>
  <c r="G183" i="17"/>
  <c r="F183" i="17"/>
  <c r="B183" i="17"/>
  <c r="G182" i="17"/>
  <c r="F182" i="17"/>
  <c r="G181" i="17"/>
  <c r="F181" i="17"/>
  <c r="G180" i="17"/>
  <c r="F180" i="17"/>
  <c r="G179" i="17"/>
  <c r="F179" i="17"/>
  <c r="G178" i="17"/>
  <c r="F178" i="17"/>
  <c r="G177" i="17"/>
  <c r="F177" i="17"/>
  <c r="G176" i="17"/>
  <c r="F176" i="17"/>
  <c r="G175" i="17"/>
  <c r="F175" i="17"/>
  <c r="G174" i="17"/>
  <c r="F174" i="17"/>
  <c r="G173" i="17"/>
  <c r="F173" i="17"/>
  <c r="G172" i="17"/>
  <c r="F172" i="17"/>
  <c r="G171" i="17"/>
  <c r="F171" i="17"/>
  <c r="G170" i="17"/>
  <c r="F170" i="17"/>
  <c r="G169" i="17"/>
  <c r="F169" i="17"/>
  <c r="G168" i="17"/>
  <c r="F168" i="17"/>
  <c r="G167" i="17"/>
  <c r="F167" i="17"/>
  <c r="B167" i="17"/>
  <c r="G166" i="17"/>
  <c r="F166" i="17"/>
  <c r="G165" i="17"/>
  <c r="F165" i="17"/>
  <c r="G164" i="17"/>
  <c r="F164" i="17"/>
  <c r="G163" i="17"/>
  <c r="F163" i="17"/>
  <c r="G162" i="17"/>
  <c r="F162" i="17"/>
  <c r="G161" i="17"/>
  <c r="F161" i="17"/>
  <c r="G160" i="17"/>
  <c r="F160" i="17"/>
  <c r="G159" i="17"/>
  <c r="F159" i="17"/>
  <c r="G158" i="17"/>
  <c r="F158" i="17"/>
  <c r="G157" i="17"/>
  <c r="F157" i="17"/>
  <c r="G156" i="17"/>
  <c r="F156" i="17"/>
  <c r="G155" i="17"/>
  <c r="F155" i="17"/>
  <c r="G154" i="17"/>
  <c r="F154" i="17"/>
  <c r="G153" i="17"/>
  <c r="F153" i="17"/>
  <c r="G152" i="17"/>
  <c r="F152" i="17"/>
  <c r="G151" i="17"/>
  <c r="F151" i="17"/>
  <c r="B151" i="17"/>
  <c r="G150" i="17"/>
  <c r="F150" i="17"/>
  <c r="G149" i="17"/>
  <c r="F149" i="17"/>
  <c r="G148" i="17"/>
  <c r="F148" i="17"/>
  <c r="G147" i="17"/>
  <c r="F147" i="17"/>
  <c r="G146" i="17"/>
  <c r="F146" i="17"/>
  <c r="G145" i="17"/>
  <c r="F145" i="17"/>
  <c r="G144" i="17"/>
  <c r="F144" i="17"/>
  <c r="G143" i="17"/>
  <c r="F143" i="17"/>
  <c r="G142" i="17"/>
  <c r="F142" i="17"/>
  <c r="G141" i="17"/>
  <c r="F141" i="17"/>
  <c r="G140" i="17"/>
  <c r="F140" i="17"/>
  <c r="G139" i="17"/>
  <c r="F139" i="17"/>
  <c r="G138" i="17"/>
  <c r="F138" i="17"/>
  <c r="B138" i="17"/>
  <c r="G137" i="17"/>
  <c r="F137" i="17"/>
  <c r="G136" i="17"/>
  <c r="F136" i="17"/>
  <c r="G135" i="17"/>
  <c r="F135" i="17"/>
  <c r="G134" i="17"/>
  <c r="F134" i="17"/>
  <c r="G133" i="17"/>
  <c r="F133" i="17"/>
  <c r="G132" i="17"/>
  <c r="F132" i="17"/>
  <c r="G131" i="17"/>
  <c r="F131" i="17"/>
  <c r="G130" i="17"/>
  <c r="F130" i="17"/>
  <c r="G129" i="17"/>
  <c r="F129" i="17"/>
  <c r="G128" i="17"/>
  <c r="F128" i="17"/>
  <c r="G127" i="17"/>
  <c r="F127" i="17"/>
  <c r="G126" i="17"/>
  <c r="F126" i="17"/>
  <c r="G125" i="17"/>
  <c r="F125" i="17"/>
  <c r="B125" i="17"/>
  <c r="G124" i="17"/>
  <c r="F124" i="17"/>
  <c r="G123" i="17"/>
  <c r="F123" i="17"/>
  <c r="G122" i="17"/>
  <c r="F122" i="17"/>
  <c r="G121" i="17"/>
  <c r="F121" i="17"/>
  <c r="G120" i="17"/>
  <c r="F120" i="17"/>
  <c r="G119" i="17"/>
  <c r="F119" i="17"/>
  <c r="G118" i="17"/>
  <c r="F118" i="17"/>
  <c r="G117" i="17"/>
  <c r="F117" i="17"/>
  <c r="G116" i="17"/>
  <c r="F116" i="17"/>
  <c r="G115" i="17"/>
  <c r="F115" i="17"/>
  <c r="G114" i="17"/>
  <c r="F114" i="17"/>
  <c r="G113" i="17"/>
  <c r="F113" i="17"/>
  <c r="G112" i="17"/>
  <c r="F112" i="17"/>
  <c r="B112" i="17"/>
  <c r="G111" i="17"/>
  <c r="F111" i="17"/>
  <c r="G110" i="17"/>
  <c r="F110" i="17"/>
  <c r="G109" i="17"/>
  <c r="F109" i="17"/>
  <c r="G108" i="17"/>
  <c r="F108" i="17"/>
  <c r="G107" i="17"/>
  <c r="F107" i="17"/>
  <c r="G106" i="17"/>
  <c r="F106" i="17"/>
  <c r="G105" i="17"/>
  <c r="F105" i="17"/>
  <c r="G104" i="17"/>
  <c r="F104" i="17"/>
  <c r="G103" i="17"/>
  <c r="F103" i="17"/>
  <c r="G102" i="17"/>
  <c r="F102" i="17"/>
  <c r="G101" i="17"/>
  <c r="F101" i="17"/>
  <c r="G100" i="17"/>
  <c r="F100" i="17"/>
  <c r="G99" i="17"/>
  <c r="F99" i="17"/>
  <c r="G98" i="17"/>
  <c r="F98" i="17"/>
  <c r="B98" i="17"/>
  <c r="G97" i="17"/>
  <c r="F97" i="17"/>
  <c r="G96" i="17"/>
  <c r="F96" i="17"/>
  <c r="G95" i="17"/>
  <c r="F95" i="17"/>
  <c r="G94" i="17"/>
  <c r="F94" i="17"/>
  <c r="G93" i="17"/>
  <c r="F93" i="17"/>
  <c r="G92" i="17"/>
  <c r="F92" i="17"/>
  <c r="G91" i="17"/>
  <c r="F91" i="17"/>
  <c r="G90" i="17"/>
  <c r="F90" i="17"/>
  <c r="G89" i="17"/>
  <c r="F89" i="17"/>
  <c r="G88" i="17"/>
  <c r="F88" i="17"/>
  <c r="G87" i="17"/>
  <c r="F87" i="17"/>
  <c r="G86" i="17"/>
  <c r="F86" i="17"/>
  <c r="G85" i="17"/>
  <c r="F85" i="17"/>
  <c r="G84" i="17"/>
  <c r="F84" i="17"/>
  <c r="B84" i="17"/>
  <c r="G83" i="17"/>
  <c r="F83" i="17"/>
  <c r="G82" i="17"/>
  <c r="F82" i="17"/>
  <c r="G81" i="17"/>
  <c r="F81" i="17"/>
  <c r="G80" i="17"/>
  <c r="G79" i="17"/>
  <c r="F79" i="17"/>
  <c r="G78" i="17"/>
  <c r="F78" i="17"/>
  <c r="G77" i="17"/>
  <c r="F77" i="17"/>
  <c r="G76" i="17"/>
  <c r="F76" i="17"/>
  <c r="G75" i="17"/>
  <c r="F75" i="17"/>
  <c r="G74" i="17"/>
  <c r="F74" i="17"/>
  <c r="G73" i="17"/>
  <c r="F73" i="17"/>
  <c r="G72" i="17"/>
  <c r="F72" i="17"/>
  <c r="G71" i="17"/>
  <c r="F71" i="17"/>
  <c r="B71" i="17"/>
  <c r="G70" i="17"/>
  <c r="F70" i="17"/>
  <c r="G69" i="17"/>
  <c r="F69" i="17"/>
  <c r="G68" i="17"/>
  <c r="F68" i="17"/>
  <c r="G67" i="17"/>
  <c r="F67" i="17"/>
  <c r="G66" i="17"/>
  <c r="F66" i="17"/>
  <c r="G65" i="17"/>
  <c r="F65" i="17"/>
  <c r="G64" i="17"/>
  <c r="F64" i="17"/>
  <c r="G63" i="17"/>
  <c r="F63" i="17"/>
  <c r="G62" i="17"/>
  <c r="F62" i="17"/>
  <c r="G61" i="17"/>
  <c r="F61" i="17"/>
  <c r="G60" i="17"/>
  <c r="F60" i="17"/>
  <c r="G59" i="17"/>
  <c r="F59" i="17"/>
  <c r="G58" i="17"/>
  <c r="F58" i="17"/>
  <c r="G57" i="17"/>
  <c r="F57" i="17"/>
  <c r="B57" i="17"/>
  <c r="G56" i="17"/>
  <c r="F56" i="17"/>
  <c r="G55" i="17"/>
  <c r="F55" i="17"/>
  <c r="G54" i="17"/>
  <c r="F54" i="17"/>
  <c r="G53" i="17"/>
  <c r="F53" i="17"/>
  <c r="G52" i="17"/>
  <c r="F52" i="17"/>
  <c r="G51" i="17"/>
  <c r="F51" i="17"/>
  <c r="G50" i="17"/>
  <c r="F50" i="17"/>
  <c r="G49" i="17"/>
  <c r="F49" i="17"/>
  <c r="G48" i="17"/>
  <c r="F48" i="17"/>
  <c r="G47" i="17"/>
  <c r="F47" i="17"/>
  <c r="G46" i="17"/>
  <c r="F46" i="17"/>
  <c r="G45" i="17"/>
  <c r="F45" i="17"/>
  <c r="G44" i="17"/>
  <c r="F44" i="17"/>
  <c r="G43" i="17"/>
  <c r="F43" i="17"/>
  <c r="B43" i="17"/>
  <c r="G42" i="17"/>
  <c r="F42" i="17"/>
  <c r="G41" i="17"/>
  <c r="F41" i="17"/>
  <c r="G40" i="17"/>
  <c r="F40" i="17"/>
  <c r="G39" i="17"/>
  <c r="F39" i="17"/>
  <c r="G38" i="17"/>
  <c r="F38" i="17"/>
  <c r="G37" i="17"/>
  <c r="F37" i="17"/>
  <c r="G36" i="17"/>
  <c r="F36" i="17"/>
  <c r="G35" i="17"/>
  <c r="F35" i="17"/>
  <c r="G34" i="17"/>
  <c r="F34" i="17"/>
  <c r="G33" i="17"/>
  <c r="F33" i="17"/>
  <c r="G32" i="17"/>
  <c r="F32" i="17"/>
  <c r="G31" i="17"/>
  <c r="F31" i="17"/>
  <c r="G30" i="17"/>
  <c r="F30" i="17"/>
  <c r="G29" i="17"/>
  <c r="F29" i="17"/>
  <c r="B29" i="17"/>
  <c r="G28" i="17"/>
  <c r="F28" i="17"/>
  <c r="G27" i="17"/>
  <c r="F27" i="17"/>
  <c r="G26" i="17"/>
  <c r="F26" i="17"/>
  <c r="G25" i="17"/>
  <c r="F25" i="17"/>
  <c r="G24" i="17"/>
  <c r="F24" i="17"/>
  <c r="G23" i="17"/>
  <c r="F23" i="17"/>
  <c r="G22" i="17"/>
  <c r="F22" i="17"/>
  <c r="G21" i="17"/>
  <c r="F21" i="17"/>
  <c r="G20" i="17"/>
  <c r="F20" i="17"/>
  <c r="G19" i="17"/>
  <c r="F19" i="17"/>
  <c r="G18" i="17"/>
  <c r="F18" i="17"/>
  <c r="G17" i="17"/>
  <c r="F17" i="17"/>
  <c r="G16" i="17"/>
  <c r="F16" i="17"/>
  <c r="G15" i="17"/>
  <c r="F15" i="17"/>
  <c r="B15" i="17"/>
  <c r="G14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G3" i="17"/>
  <c r="F3" i="17"/>
  <c r="B25" i="16" l="1"/>
  <c r="C7" i="15" l="1"/>
  <c r="F2" i="14"/>
  <c r="F3" i="14"/>
  <c r="F4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2" i="13"/>
  <c r="M2" i="13"/>
  <c r="L3" i="13" s="1"/>
  <c r="M3" i="13" s="1"/>
  <c r="L4" i="13" s="1"/>
  <c r="M4" i="13" s="1"/>
  <c r="L5" i="13" s="1"/>
  <c r="M5" i="13" s="1"/>
  <c r="L6" i="13" s="1"/>
  <c r="M6" i="13" s="1"/>
  <c r="L7" i="13" s="1"/>
  <c r="M7" i="13" s="1"/>
  <c r="L8" i="13" s="1"/>
  <c r="M8" i="13" s="1"/>
  <c r="L9" i="13" s="1"/>
  <c r="M9" i="13" s="1"/>
  <c r="L10" i="13" s="1"/>
  <c r="M10" i="13" s="1"/>
  <c r="L11" i="13" s="1"/>
  <c r="M11" i="13" s="1"/>
  <c r="L12" i="13" s="1"/>
  <c r="M12" i="13" s="1"/>
  <c r="L13" i="13" s="1"/>
  <c r="M13" i="13" s="1"/>
  <c r="L14" i="13" s="1"/>
  <c r="M14" i="13" s="1"/>
  <c r="L15" i="13" s="1"/>
  <c r="M15" i="13" s="1"/>
  <c r="L16" i="13" s="1"/>
  <c r="M16" i="13" s="1"/>
  <c r="L17" i="13" s="1"/>
  <c r="M17" i="13" s="1"/>
  <c r="L18" i="13" s="1"/>
  <c r="M18" i="13" s="1"/>
  <c r="L19" i="13" s="1"/>
  <c r="M19" i="13" s="1"/>
  <c r="L20" i="13" s="1"/>
  <c r="M20" i="13" s="1"/>
  <c r="L21" i="13" s="1"/>
  <c r="M21" i="13" s="1"/>
  <c r="L22" i="13" s="1"/>
  <c r="M22" i="13" s="1"/>
  <c r="L23" i="13" s="1"/>
  <c r="M23" i="13" s="1"/>
  <c r="L24" i="13" s="1"/>
  <c r="M24" i="13" s="1"/>
  <c r="L25" i="13" s="1"/>
  <c r="M25" i="13" s="1"/>
  <c r="L26" i="13" s="1"/>
  <c r="M26" i="13" s="1"/>
  <c r="F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Q24" i="13"/>
  <c r="S24" i="13" s="1"/>
  <c r="Q25" i="13"/>
  <c r="S25" i="13" s="1"/>
  <c r="J27" i="13"/>
  <c r="F31" i="13"/>
  <c r="F32" i="13"/>
  <c r="F35" i="13"/>
  <c r="E1" i="12"/>
  <c r="B3" i="12"/>
  <c r="F3" i="12"/>
  <c r="B4" i="12"/>
  <c r="I4" i="12"/>
  <c r="K4" i="12"/>
  <c r="B5" i="12"/>
  <c r="I5" i="12"/>
  <c r="K5" i="12"/>
  <c r="B6" i="12"/>
  <c r="I6" i="12"/>
  <c r="K6" i="12"/>
  <c r="B7" i="12"/>
  <c r="I7" i="12"/>
  <c r="K7" i="12"/>
  <c r="B8" i="12"/>
  <c r="I8" i="12"/>
  <c r="K8" i="12"/>
  <c r="B9" i="12"/>
  <c r="I9" i="12"/>
  <c r="K9" i="12"/>
  <c r="B10" i="12"/>
  <c r="I10" i="12"/>
  <c r="K10" i="12"/>
  <c r="B11" i="12"/>
  <c r="I11" i="12"/>
  <c r="K11" i="12"/>
  <c r="B12" i="12"/>
  <c r="I12" i="12"/>
  <c r="K12" i="12"/>
  <c r="B13" i="12"/>
  <c r="I13" i="12"/>
  <c r="K13" i="12"/>
  <c r="B14" i="12"/>
  <c r="I14" i="12"/>
  <c r="K14" i="12"/>
  <c r="B15" i="12"/>
  <c r="I15" i="12"/>
  <c r="K15" i="12"/>
  <c r="B16" i="12"/>
  <c r="I16" i="12"/>
  <c r="K16" i="12"/>
  <c r="B17" i="12"/>
  <c r="I17" i="12"/>
  <c r="K17" i="12"/>
  <c r="B18" i="12"/>
  <c r="I18" i="12"/>
  <c r="K18" i="12"/>
  <c r="B19" i="12"/>
  <c r="I19" i="12"/>
  <c r="K19" i="12"/>
  <c r="B20" i="12"/>
  <c r="I20" i="12"/>
  <c r="K20" i="12"/>
  <c r="B21" i="12"/>
  <c r="I21" i="12"/>
  <c r="K21" i="12"/>
  <c r="B22" i="12"/>
  <c r="I22" i="12"/>
  <c r="K22" i="12"/>
  <c r="B23" i="12"/>
  <c r="I23" i="12"/>
  <c r="K23" i="12"/>
  <c r="B24" i="12"/>
  <c r="I24" i="12"/>
  <c r="K24" i="12"/>
  <c r="B25" i="12"/>
  <c r="I25" i="12"/>
  <c r="K25" i="12"/>
  <c r="B26" i="12"/>
  <c r="I26" i="12"/>
  <c r="K26" i="12"/>
  <c r="B27" i="12"/>
  <c r="I27" i="12"/>
  <c r="K27" i="12"/>
  <c r="B28" i="12"/>
  <c r="I28" i="12"/>
  <c r="K28" i="12"/>
  <c r="B29" i="12"/>
  <c r="I29" i="12"/>
  <c r="K29" i="12"/>
  <c r="B30" i="12"/>
  <c r="I30" i="12"/>
  <c r="K30" i="12"/>
  <c r="B31" i="12"/>
  <c r="I31" i="12"/>
  <c r="K31" i="12"/>
  <c r="B32" i="12"/>
  <c r="I32" i="12"/>
  <c r="K32" i="12"/>
  <c r="B33" i="12"/>
  <c r="I33" i="12"/>
  <c r="K33" i="12"/>
  <c r="B34" i="12"/>
  <c r="I34" i="12"/>
  <c r="K34" i="12"/>
  <c r="B35" i="12"/>
  <c r="I35" i="12"/>
  <c r="K35" i="12"/>
  <c r="B36" i="12"/>
  <c r="I36" i="12"/>
  <c r="K36" i="12"/>
  <c r="B37" i="12"/>
  <c r="I37" i="12"/>
  <c r="K37" i="12"/>
  <c r="B38" i="12"/>
  <c r="I38" i="12"/>
  <c r="K38" i="12"/>
  <c r="B39" i="12"/>
  <c r="I39" i="12"/>
  <c r="K39" i="12"/>
  <c r="B40" i="12"/>
  <c r="I40" i="12"/>
  <c r="K40" i="12"/>
  <c r="B41" i="12"/>
  <c r="I41" i="12"/>
  <c r="K41" i="12"/>
  <c r="B42" i="12"/>
  <c r="I42" i="12"/>
  <c r="K42" i="12"/>
  <c r="B43" i="12"/>
  <c r="I43" i="12"/>
  <c r="K43" i="12"/>
  <c r="B44" i="12"/>
  <c r="I44" i="12"/>
  <c r="K44" i="12"/>
  <c r="B45" i="12"/>
  <c r="I45" i="12"/>
  <c r="K45" i="12"/>
  <c r="B46" i="12"/>
  <c r="I46" i="12"/>
  <c r="K46" i="12"/>
  <c r="B47" i="12"/>
  <c r="I47" i="12"/>
  <c r="K47" i="12"/>
  <c r="B48" i="12"/>
  <c r="I48" i="12"/>
  <c r="K48" i="12"/>
  <c r="B49" i="12"/>
  <c r="I49" i="12"/>
  <c r="K49" i="12"/>
  <c r="B50" i="12"/>
  <c r="I50" i="12"/>
  <c r="K50" i="12"/>
  <c r="B51" i="12"/>
  <c r="I51" i="12"/>
  <c r="K51" i="12"/>
  <c r="B52" i="12"/>
  <c r="I52" i="12"/>
  <c r="K52" i="12"/>
  <c r="B53" i="12"/>
  <c r="I53" i="12"/>
  <c r="K53" i="12"/>
  <c r="B54" i="12"/>
  <c r="I54" i="12"/>
  <c r="K54" i="12"/>
  <c r="B55" i="12"/>
  <c r="I55" i="12"/>
  <c r="K55" i="12"/>
  <c r="B56" i="12"/>
  <c r="I56" i="12"/>
  <c r="K56" i="12"/>
  <c r="B57" i="12"/>
  <c r="I57" i="12"/>
  <c r="K57" i="12"/>
  <c r="B58" i="12"/>
  <c r="I58" i="12"/>
  <c r="K58" i="12"/>
  <c r="B59" i="12"/>
  <c r="I59" i="12"/>
  <c r="K59" i="12"/>
  <c r="B60" i="12"/>
  <c r="I60" i="12"/>
  <c r="K60" i="12"/>
  <c r="B61" i="12"/>
  <c r="I61" i="12"/>
  <c r="K61" i="12"/>
  <c r="B62" i="12"/>
  <c r="I62" i="12"/>
  <c r="K62" i="12"/>
  <c r="B63" i="12"/>
  <c r="I63" i="12"/>
  <c r="K63" i="12"/>
  <c r="B64" i="12"/>
  <c r="I64" i="12"/>
  <c r="K64" i="12"/>
  <c r="B65" i="12"/>
  <c r="I65" i="12"/>
  <c r="K65" i="12"/>
  <c r="B66" i="12"/>
  <c r="I66" i="12"/>
  <c r="K66" i="12"/>
  <c r="B67" i="12"/>
  <c r="I67" i="12"/>
  <c r="K67" i="12"/>
  <c r="B68" i="12"/>
  <c r="I68" i="12"/>
  <c r="K68" i="12"/>
  <c r="B69" i="12"/>
  <c r="I69" i="12"/>
  <c r="K69" i="12"/>
  <c r="B70" i="12"/>
  <c r="I70" i="12"/>
  <c r="K70" i="12"/>
  <c r="B71" i="12"/>
  <c r="I71" i="12"/>
  <c r="K71" i="12"/>
  <c r="B72" i="12"/>
  <c r="I72" i="12"/>
  <c r="K72" i="12"/>
  <c r="B73" i="12"/>
  <c r="I73" i="12"/>
  <c r="K73" i="12"/>
  <c r="B74" i="12"/>
  <c r="I74" i="12"/>
  <c r="K74" i="12"/>
  <c r="B75" i="12"/>
  <c r="I75" i="12"/>
  <c r="K75" i="12"/>
  <c r="B76" i="12"/>
  <c r="I76" i="12"/>
  <c r="K76" i="12"/>
  <c r="B77" i="12"/>
  <c r="I77" i="12"/>
  <c r="K77" i="12"/>
  <c r="B78" i="12"/>
  <c r="I78" i="12"/>
  <c r="K78" i="12"/>
  <c r="B79" i="12"/>
  <c r="I79" i="12"/>
  <c r="K79" i="12"/>
  <c r="B80" i="12"/>
  <c r="I80" i="12"/>
  <c r="K80" i="12"/>
  <c r="B81" i="12"/>
  <c r="I81" i="12"/>
  <c r="K81" i="12"/>
  <c r="B82" i="12"/>
  <c r="I82" i="12"/>
  <c r="K82" i="12"/>
  <c r="B83" i="12"/>
  <c r="I83" i="12"/>
  <c r="K83" i="12"/>
  <c r="B84" i="12"/>
  <c r="I84" i="12"/>
  <c r="K84" i="12"/>
  <c r="B85" i="12"/>
  <c r="I85" i="12"/>
  <c r="K85" i="12"/>
  <c r="B86" i="12"/>
  <c r="I86" i="12"/>
  <c r="K86" i="12"/>
  <c r="B87" i="12"/>
  <c r="I87" i="12"/>
  <c r="K87" i="12"/>
  <c r="B88" i="12"/>
  <c r="I88" i="12"/>
  <c r="K88" i="12"/>
  <c r="B89" i="12"/>
  <c r="I89" i="12"/>
  <c r="K89" i="12"/>
  <c r="B90" i="12"/>
  <c r="I90" i="12"/>
  <c r="K90" i="12"/>
  <c r="B91" i="12"/>
  <c r="I91" i="12"/>
  <c r="K91" i="12"/>
  <c r="B92" i="12"/>
  <c r="I92" i="12"/>
  <c r="K92" i="12"/>
  <c r="B93" i="12"/>
  <c r="I93" i="12"/>
  <c r="K93" i="12"/>
  <c r="B94" i="12"/>
  <c r="I94" i="12"/>
  <c r="K94" i="12"/>
  <c r="B95" i="12"/>
  <c r="I95" i="12"/>
  <c r="K95" i="12"/>
  <c r="B96" i="12"/>
  <c r="I96" i="12"/>
  <c r="K96" i="12"/>
  <c r="B97" i="12"/>
  <c r="I97" i="12"/>
  <c r="K97" i="12"/>
  <c r="B98" i="12"/>
  <c r="I98" i="12"/>
  <c r="K98" i="12"/>
  <c r="B99" i="12"/>
  <c r="I99" i="12"/>
  <c r="K99" i="12"/>
  <c r="B100" i="12"/>
  <c r="I100" i="12"/>
  <c r="K100" i="12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2" i="7"/>
  <c r="E3" i="7"/>
  <c r="E4" i="7"/>
  <c r="E5" i="7"/>
  <c r="E6" i="7"/>
  <c r="E7" i="7"/>
  <c r="H15" i="7"/>
  <c r="I15" i="7"/>
  <c r="J15" i="7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I711" i="3"/>
  <c r="I712" i="3"/>
  <c r="I713" i="3" s="1"/>
  <c r="I714" i="3" s="1"/>
  <c r="E3" i="2"/>
  <c r="E29" i="2"/>
  <c r="J31" i="2"/>
  <c r="L78" i="2"/>
  <c r="J32" i="2"/>
  <c r="L69" i="2"/>
  <c r="E68" i="2"/>
  <c r="E69" i="2"/>
  <c r="M69" i="2"/>
  <c r="N70" i="2"/>
  <c r="O70" i="2" s="1"/>
  <c r="N71" i="2"/>
  <c r="O71" i="2" s="1"/>
  <c r="N72" i="2"/>
  <c r="O72" i="2" s="1"/>
  <c r="N73" i="2"/>
  <c r="O73" i="2" s="1"/>
  <c r="N74" i="2"/>
  <c r="O74" i="2" s="1"/>
  <c r="J75" i="2"/>
  <c r="M75" i="2" s="1"/>
  <c r="L75" i="2"/>
  <c r="J76" i="2"/>
  <c r="M76" i="2"/>
  <c r="L76" i="2"/>
  <c r="N76" i="2"/>
  <c r="O76" i="2" s="1"/>
  <c r="J77" i="2"/>
  <c r="M77" i="2" s="1"/>
  <c r="L77" i="2"/>
  <c r="N77" i="2" s="1"/>
  <c r="O77" i="2" s="1"/>
  <c r="J78" i="2"/>
  <c r="M78" i="2"/>
  <c r="J79" i="2"/>
  <c r="L79" i="2"/>
  <c r="J80" i="2"/>
  <c r="M80" i="2" s="1"/>
  <c r="L80" i="2"/>
  <c r="N80" i="2" s="1"/>
  <c r="O80" i="2" s="1"/>
  <c r="J81" i="2"/>
  <c r="M81" i="2"/>
  <c r="N81" i="2" s="1"/>
  <c r="O81" i="2" s="1"/>
  <c r="L81" i="2"/>
  <c r="J82" i="2"/>
  <c r="M82" i="2" s="1"/>
  <c r="N82" i="2" s="1"/>
  <c r="O82" i="2" s="1"/>
  <c r="L82" i="2"/>
  <c r="J84" i="2"/>
  <c r="G106" i="2"/>
  <c r="G110" i="2"/>
  <c r="J35" i="2"/>
  <c r="S26" i="13"/>
  <c r="T24" i="13"/>
  <c r="N69" i="2"/>
  <c r="O69" i="2" s="1"/>
  <c r="G105" i="2"/>
  <c r="M79" i="2"/>
  <c r="N79" i="2"/>
  <c r="O79" i="2" s="1"/>
  <c r="N78" i="2" l="1"/>
  <c r="O78" i="2" s="1"/>
  <c r="G108" i="2"/>
  <c r="N75" i="2"/>
  <c r="O75" i="2" s="1"/>
  <c r="J85" i="2"/>
  <c r="L27" i="13"/>
  <c r="M27" i="13" s="1"/>
  <c r="K36" i="2"/>
  <c r="K1" i="2" s="1"/>
  <c r="J36" i="2"/>
  <c r="C1" i="12"/>
  <c r="G1" i="12" s="1"/>
  <c r="E4" i="12"/>
  <c r="J28" i="13"/>
  <c r="L28" i="13" l="1"/>
  <c r="M28" i="13" s="1"/>
  <c r="J29" i="13"/>
  <c r="F4" i="12"/>
  <c r="E5" i="12"/>
  <c r="K86" i="2"/>
  <c r="J86" i="2"/>
  <c r="F5" i="12" l="1"/>
  <c r="J30" i="13"/>
  <c r="L29" i="13"/>
  <c r="M29" i="13" s="1"/>
  <c r="J4" i="12"/>
  <c r="G4" i="12"/>
  <c r="L30" i="13" l="1"/>
  <c r="M30" i="13" s="1"/>
  <c r="J5" i="12"/>
  <c r="G5" i="12"/>
  <c r="E6" i="12"/>
  <c r="F6" i="12" l="1"/>
  <c r="G6" i="12" l="1"/>
  <c r="J6" i="12"/>
  <c r="E7" i="12"/>
  <c r="E8" i="12" l="1"/>
  <c r="F7" i="12"/>
  <c r="G7" i="12" l="1"/>
  <c r="J7" i="12"/>
  <c r="F8" i="12"/>
  <c r="G8" i="12" l="1"/>
  <c r="J8" i="12"/>
  <c r="E9" i="12"/>
  <c r="F9" i="12" l="1"/>
  <c r="E10" i="12" s="1"/>
  <c r="J9" i="12" l="1"/>
  <c r="G9" i="12"/>
  <c r="F10" i="12"/>
  <c r="G10" i="12" l="1"/>
  <c r="J10" i="12"/>
  <c r="E11" i="12"/>
  <c r="E12" i="12" l="1"/>
  <c r="F11" i="12"/>
  <c r="G11" i="12" l="1"/>
  <c r="J11" i="12"/>
  <c r="F12" i="12"/>
  <c r="G12" i="12" l="1"/>
  <c r="J12" i="12"/>
  <c r="E13" i="12"/>
  <c r="E14" i="12" l="1"/>
  <c r="F13" i="12"/>
  <c r="G13" i="12" l="1"/>
  <c r="J13" i="12"/>
  <c r="F14" i="12"/>
  <c r="J14" i="12" l="1"/>
  <c r="G14" i="12"/>
  <c r="E15" i="12"/>
  <c r="F15" i="12" l="1"/>
  <c r="E16" i="12" s="1"/>
  <c r="F16" i="12" l="1"/>
  <c r="G15" i="12"/>
  <c r="J15" i="12"/>
  <c r="J16" i="12" l="1"/>
  <c r="G16" i="12"/>
  <c r="E17" i="12"/>
  <c r="F17" i="12" l="1"/>
  <c r="J17" i="12" l="1"/>
  <c r="G17" i="12"/>
  <c r="E18" i="12"/>
  <c r="E19" i="12" l="1"/>
  <c r="F18" i="12"/>
  <c r="G18" i="12" l="1"/>
  <c r="J18" i="12"/>
  <c r="F19" i="12"/>
  <c r="E20" i="12"/>
  <c r="F20" i="12" l="1"/>
  <c r="E21" i="12" s="1"/>
  <c r="G19" i="12"/>
  <c r="J19" i="12"/>
  <c r="G20" i="12" l="1"/>
  <c r="J20" i="12"/>
  <c r="F21" i="12"/>
  <c r="J21" i="12" l="1"/>
  <c r="G21" i="12"/>
  <c r="E22" i="12"/>
  <c r="F22" i="12" l="1"/>
  <c r="J22" i="12" l="1"/>
  <c r="G22" i="12"/>
  <c r="E23" i="12"/>
  <c r="F23" i="12" l="1"/>
  <c r="G23" i="12" l="1"/>
  <c r="J23" i="12"/>
  <c r="E24" i="12"/>
  <c r="E25" i="12" l="1"/>
  <c r="F24" i="12"/>
  <c r="J24" i="12" l="1"/>
  <c r="G24" i="12"/>
  <c r="F25" i="12"/>
  <c r="J25" i="12" l="1"/>
  <c r="G25" i="12"/>
  <c r="E26" i="12"/>
  <c r="F26" i="12" l="1"/>
  <c r="E27" i="12" s="1"/>
  <c r="J26" i="12" l="1"/>
  <c r="G26" i="12"/>
  <c r="F27" i="12"/>
  <c r="G27" i="12" l="1"/>
  <c r="J27" i="12"/>
  <c r="E28" i="12"/>
  <c r="F28" i="12" l="1"/>
  <c r="J28" i="12" l="1"/>
  <c r="G28" i="12"/>
  <c r="E29" i="12"/>
  <c r="F29" i="12" l="1"/>
  <c r="J29" i="12" l="1"/>
  <c r="G29" i="12"/>
  <c r="E30" i="12"/>
  <c r="F30" i="12" l="1"/>
  <c r="J30" i="12" l="1"/>
  <c r="G30" i="12"/>
  <c r="E31" i="12"/>
  <c r="F31" i="12" l="1"/>
  <c r="G31" i="12" l="1"/>
  <c r="J31" i="12"/>
  <c r="E32" i="12"/>
  <c r="F32" i="12" l="1"/>
  <c r="J32" i="12" l="1"/>
  <c r="G32" i="12"/>
  <c r="E33" i="12"/>
  <c r="F33" i="12" l="1"/>
  <c r="J33" i="12" l="1"/>
  <c r="G33" i="12"/>
  <c r="E34" i="12"/>
  <c r="F34" i="12" l="1"/>
  <c r="G34" i="12" l="1"/>
  <c r="J34" i="12"/>
  <c r="E35" i="12"/>
  <c r="F35" i="12" l="1"/>
  <c r="J35" i="12" l="1"/>
  <c r="G35" i="12"/>
  <c r="E36" i="12"/>
  <c r="F36" i="12" l="1"/>
  <c r="J36" i="12" l="1"/>
  <c r="G36" i="12"/>
  <c r="E37" i="12"/>
  <c r="F37" i="12" l="1"/>
  <c r="J37" i="12" l="1"/>
  <c r="G37" i="12"/>
  <c r="E38" i="12"/>
  <c r="F38" i="12" l="1"/>
  <c r="J38" i="12" l="1"/>
  <c r="G38" i="12"/>
  <c r="E39" i="12"/>
  <c r="F39" i="12" l="1"/>
  <c r="G39" i="12" l="1"/>
  <c r="J39" i="12"/>
  <c r="E40" i="12"/>
  <c r="F40" i="12" l="1"/>
  <c r="G40" i="12" l="1"/>
  <c r="J40" i="12"/>
  <c r="E41" i="12"/>
  <c r="F41" i="12" l="1"/>
  <c r="J41" i="12" l="1"/>
  <c r="G41" i="12"/>
  <c r="E42" i="12"/>
  <c r="F42" i="12" l="1"/>
  <c r="J42" i="12" l="1"/>
  <c r="G42" i="12"/>
  <c r="E43" i="12"/>
  <c r="F43" i="12" l="1"/>
  <c r="G43" i="12" l="1"/>
  <c r="J43" i="12"/>
  <c r="E44" i="12"/>
  <c r="F44" i="12" l="1"/>
  <c r="G44" i="12" l="1"/>
  <c r="J44" i="12"/>
  <c r="E45" i="12"/>
  <c r="F45" i="12" l="1"/>
  <c r="J45" i="12" l="1"/>
  <c r="G45" i="12"/>
  <c r="E46" i="12"/>
  <c r="F46" i="12" l="1"/>
  <c r="J46" i="12" l="1"/>
  <c r="G46" i="12"/>
  <c r="E47" i="12"/>
  <c r="F47" i="12" l="1"/>
  <c r="J47" i="12" l="1"/>
  <c r="G47" i="12"/>
  <c r="E48" i="12"/>
  <c r="F48" i="12" l="1"/>
  <c r="G48" i="12" l="1"/>
  <c r="J48" i="12"/>
  <c r="E49" i="12"/>
  <c r="E50" i="12" l="1"/>
  <c r="F49" i="12"/>
  <c r="J49" i="12" l="1"/>
  <c r="G49" i="12"/>
  <c r="F50" i="12"/>
  <c r="J50" i="12" l="1"/>
  <c r="G50" i="12"/>
  <c r="E51" i="12"/>
  <c r="F51" i="12" l="1"/>
  <c r="G51" i="12" l="1"/>
  <c r="J51" i="12"/>
  <c r="E52" i="12"/>
  <c r="F52" i="12" l="1"/>
  <c r="J52" i="12" l="1"/>
  <c r="G52" i="12"/>
  <c r="E53" i="12"/>
  <c r="F53" i="12" l="1"/>
  <c r="J53" i="12" l="1"/>
  <c r="G53" i="12"/>
  <c r="E54" i="12"/>
  <c r="F54" i="12" l="1"/>
  <c r="E55" i="12"/>
  <c r="F55" i="12" l="1"/>
  <c r="J54" i="12"/>
  <c r="G54" i="12"/>
  <c r="G55" i="12" l="1"/>
  <c r="J55" i="12"/>
  <c r="E56" i="12"/>
  <c r="F56" i="12" l="1"/>
  <c r="G56" i="12" l="1"/>
  <c r="J56" i="12"/>
  <c r="E57" i="12"/>
  <c r="F57" i="12" l="1"/>
  <c r="E58" i="12" s="1"/>
  <c r="F58" i="12" l="1"/>
  <c r="G57" i="12"/>
  <c r="J57" i="12"/>
  <c r="G58" i="12" l="1"/>
  <c r="J58" i="12"/>
  <c r="E59" i="12"/>
  <c r="F59" i="12" l="1"/>
  <c r="G59" i="12" l="1"/>
  <c r="J59" i="12"/>
  <c r="E60" i="12"/>
  <c r="F60" i="12" l="1"/>
  <c r="E61" i="12" s="1"/>
  <c r="F61" i="12" l="1"/>
  <c r="E62" i="12" s="1"/>
  <c r="J60" i="12"/>
  <c r="G60" i="12"/>
  <c r="F62" i="12" l="1"/>
  <c r="E63" i="12" s="1"/>
  <c r="J61" i="12"/>
  <c r="G61" i="12"/>
  <c r="G62" i="12" l="1"/>
  <c r="J62" i="12"/>
  <c r="F63" i="12"/>
  <c r="E64" i="12"/>
  <c r="F64" i="12" l="1"/>
  <c r="G63" i="12"/>
  <c r="J63" i="12"/>
  <c r="G64" i="12" l="1"/>
  <c r="J64" i="12"/>
  <c r="E65" i="12"/>
  <c r="F65" i="12" l="1"/>
  <c r="E66" i="12" s="1"/>
  <c r="F66" i="12" l="1"/>
  <c r="G65" i="12"/>
  <c r="J65" i="12"/>
  <c r="G66" i="12" l="1"/>
  <c r="J66" i="12"/>
  <c r="E67" i="12"/>
  <c r="F67" i="12" l="1"/>
  <c r="G67" i="12" l="1"/>
  <c r="J67" i="12"/>
  <c r="E68" i="12"/>
  <c r="F68" i="12" l="1"/>
  <c r="E69" i="12"/>
  <c r="F69" i="12" l="1"/>
  <c r="J68" i="12"/>
  <c r="G68" i="12"/>
  <c r="G69" i="12" l="1"/>
  <c r="J69" i="12"/>
  <c r="E70" i="12"/>
  <c r="F70" i="12" l="1"/>
  <c r="G70" i="12" l="1"/>
  <c r="J70" i="12"/>
  <c r="E71" i="12"/>
  <c r="F71" i="12" l="1"/>
  <c r="E72" i="12" s="1"/>
  <c r="F72" i="12" l="1"/>
  <c r="J71" i="12"/>
  <c r="G71" i="12"/>
  <c r="J72" i="12" l="1"/>
  <c r="G72" i="12"/>
  <c r="E73" i="12"/>
  <c r="F73" i="12" l="1"/>
  <c r="G73" i="12" l="1"/>
  <c r="J73" i="12"/>
  <c r="E74" i="12"/>
  <c r="F74" i="12" l="1"/>
  <c r="G74" i="12" l="1"/>
  <c r="J74" i="12"/>
  <c r="E75" i="12"/>
  <c r="F75" i="12" l="1"/>
  <c r="E76" i="12" s="1"/>
  <c r="F76" i="12" l="1"/>
  <c r="G75" i="12"/>
  <c r="J75" i="12"/>
  <c r="J76" i="12" l="1"/>
  <c r="G76" i="12"/>
  <c r="E77" i="12"/>
  <c r="F77" i="12" l="1"/>
  <c r="E78" i="12" s="1"/>
  <c r="F78" i="12" l="1"/>
  <c r="G77" i="12"/>
  <c r="J77" i="12"/>
  <c r="J78" i="12" l="1"/>
  <c r="G78" i="12"/>
  <c r="E79" i="12"/>
  <c r="F79" i="12" l="1"/>
  <c r="E80" i="12"/>
  <c r="F80" i="12" l="1"/>
  <c r="J79" i="12"/>
  <c r="G79" i="12"/>
  <c r="G80" i="12" l="1"/>
  <c r="J80" i="12"/>
  <c r="E81" i="12"/>
  <c r="F81" i="12" l="1"/>
  <c r="G81" i="12" l="1"/>
  <c r="J81" i="12"/>
  <c r="E82" i="12"/>
  <c r="F82" i="12" l="1"/>
  <c r="G82" i="12" l="1"/>
  <c r="J82" i="12"/>
  <c r="E83" i="12"/>
  <c r="F83" i="12" l="1"/>
  <c r="E84" i="12" s="1"/>
  <c r="F84" i="12" l="1"/>
  <c r="E85" i="12"/>
  <c r="G83" i="12"/>
  <c r="J83" i="12"/>
  <c r="F85" i="12" l="1"/>
  <c r="E86" i="12"/>
  <c r="G84" i="12"/>
  <c r="J84" i="12"/>
  <c r="F86" i="12" l="1"/>
  <c r="G85" i="12"/>
  <c r="J85" i="12"/>
  <c r="G86" i="12" l="1"/>
  <c r="J86" i="12"/>
  <c r="E87" i="12"/>
  <c r="F87" i="12" l="1"/>
  <c r="G87" i="12" l="1"/>
  <c r="J87" i="12"/>
  <c r="E88" i="12"/>
  <c r="F88" i="12" l="1"/>
  <c r="E89" i="12" s="1"/>
  <c r="F89" i="12" l="1"/>
  <c r="G88" i="12"/>
  <c r="J88" i="12"/>
  <c r="G89" i="12" l="1"/>
  <c r="J89" i="12"/>
  <c r="E90" i="12"/>
  <c r="F90" i="12" l="1"/>
  <c r="J90" i="12" l="1"/>
  <c r="G90" i="12"/>
  <c r="E91" i="12"/>
  <c r="F91" i="12" l="1"/>
  <c r="E92" i="12" s="1"/>
  <c r="F92" i="12" l="1"/>
  <c r="E93" i="12" s="1"/>
  <c r="G91" i="12"/>
  <c r="J91" i="12"/>
  <c r="F93" i="12" l="1"/>
  <c r="J92" i="12"/>
  <c r="G92" i="12"/>
  <c r="J93" i="12" l="1"/>
  <c r="G93" i="12"/>
  <c r="E94" i="12"/>
  <c r="F94" i="12" l="1"/>
  <c r="E95" i="12" s="1"/>
  <c r="F95" i="12" l="1"/>
  <c r="E96" i="12" s="1"/>
  <c r="J94" i="12"/>
  <c r="G94" i="12"/>
  <c r="F96" i="12" l="1"/>
  <c r="E97" i="12" s="1"/>
  <c r="G95" i="12"/>
  <c r="J95" i="12"/>
  <c r="F97" i="12" l="1"/>
  <c r="E98" i="12" s="1"/>
  <c r="G96" i="12"/>
  <c r="J96" i="12"/>
  <c r="F98" i="12" l="1"/>
  <c r="E99" i="12" s="1"/>
  <c r="J97" i="12"/>
  <c r="G97" i="12"/>
  <c r="E100" i="12" l="1"/>
  <c r="F100" i="12" s="1"/>
  <c r="F99" i="12"/>
  <c r="J98" i="12"/>
  <c r="G98" i="12"/>
  <c r="J99" i="12" l="1"/>
  <c r="G99" i="12"/>
  <c r="J100" i="12"/>
  <c r="G10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夏述维</author>
  </authors>
  <commentList>
    <comment ref="C3" authorId="0" shapeId="0" xr:uid="{99B5124D-1E8A-4DE5-BBD6-3AB2D0D5C9CB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只选GDP前四的国家</t>
        </r>
      </text>
    </comment>
    <comment ref="D4" authorId="0" shapeId="0" xr:uid="{016BAEBD-6946-4216-B1BC-270C9A5348AA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上证50和沪深300的相关性极高，达到了0.95，国企指数与沪深300的相关性达到了0.9。
恒生指数与沪深300的相关性也达到了0.8。
但是，细究起来，在2011年之前的相关性很高，现在的相关性没那么高。列入国内的观察清单。</t>
        </r>
      </text>
    </comment>
    <comment ref="F4" authorId="0" shapeId="0" xr:uid="{A7A66929-CDD1-47EE-A4E6-8351182A9318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纳指100和标普500的相关性极高，达到了0.92。考虑到科技股的不可替代性，选择观察纳指</t>
        </r>
      </text>
    </comment>
    <comment ref="G4" authorId="0" shapeId="0" xr:uid="{1F587335-0995-4923-B34F-940024BFA08D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日经指数和纳斯达克指数有0.6的相关性，但跟沪深300的相关性只有0.12。</t>
        </r>
      </text>
    </comment>
    <comment ref="I4" authorId="0" shapeId="0" xr:uid="{79164E62-842D-487D-9B87-E299BFCDB0FD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sh000013 企业债
国债跟企业债的相关性很高，收益比较低，排除。 分级A已经退出市场不再跟踪</t>
        </r>
      </text>
    </comment>
    <comment ref="J4" authorId="0" shapeId="0" xr:uid="{6C4C65CE-3273-4E24-9EAF-C6CC20CA2ECC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多数金融产品参考的是wti原油价格(美国)，而不是欧洲的布伦特石油价格。
https://cn.investing.com/currencies/wti-usd</t>
        </r>
      </text>
    </comment>
    <comment ref="K4" authorId="0" shapeId="0" xr:uid="{EE4D0011-0505-4413-9FCD-F485CE631DF9}">
      <text>
        <r>
          <rPr>
            <b/>
            <sz val="9"/>
            <color indexed="81"/>
            <rFont val="宋体"/>
            <family val="3"/>
            <charset val="134"/>
          </rPr>
          <t>夏述维:</t>
        </r>
        <r>
          <rPr>
            <sz val="9"/>
            <color indexed="81"/>
            <rFont val="宋体"/>
            <family val="3"/>
            <charset val="134"/>
          </rPr>
          <t xml:space="preserve">
XAUUSD
黄金和石油的相关性也比较低 
https://cn.investing.com/currencies/xau-usd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shavingha</author>
  </authors>
  <commentList>
    <comment ref="B22" authorId="0" shapeId="0" xr:uid="{00000000-0006-0000-0A00-000001000000}">
      <text>
        <r>
          <rPr>
            <sz val="9"/>
            <color indexed="81"/>
            <rFont val="Tahoma"/>
            <family val="2"/>
          </rPr>
          <t>shavingha:
程序BUG买入大量溢价的分级基金，后来遭遇连续跌停，损失巨大.</t>
        </r>
      </text>
    </comment>
    <comment ref="D50" authorId="0" shapeId="0" xr:uid="{00000000-0006-0000-0A00-000002000000}">
      <text>
        <r>
          <rPr>
            <sz val="9"/>
            <color indexed="81"/>
            <rFont val="Tahoma"/>
            <family val="2"/>
          </rPr>
          <t xml:space="preserve">shavingha:
期货对冲损失算到这里来
</t>
        </r>
      </text>
    </comment>
    <comment ref="B74" authorId="0" shapeId="0" xr:uid="{00000000-0006-0000-0A00-000003000000}">
      <text>
        <r>
          <rPr>
            <sz val="9"/>
            <color indexed="81"/>
            <rFont val="Tahoma"/>
            <family val="2"/>
          </rPr>
          <t>shavingha:
ETF致命错误, 一次买入赎回太多。留下大量的停牌股。没有去计算整个套利收益。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shavingha</author>
    <author>admin</author>
  </authors>
  <commentList>
    <comment ref="A23" authorId="0" shapeId="0" xr:uid="{00000000-0006-0000-0B00-000001000000}">
      <text>
        <r>
          <rPr>
            <sz val="9"/>
            <color indexed="81"/>
            <rFont val="Tahoma"/>
            <family val="2"/>
          </rPr>
          <t xml:space="preserve">shavingha:
本月起每月定投1万人民币
</t>
        </r>
      </text>
    </comment>
    <comment ref="F34" authorId="1" shapeId="0" xr:uid="{00000000-0006-0000-0B00-000002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分红买入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夏述维</author>
  </authors>
  <commentList>
    <comment ref="B17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夏述维:</t>
        </r>
        <r>
          <rPr>
            <sz val="9"/>
            <color indexed="81"/>
            <rFont val="Tahoma"/>
            <family val="2"/>
          </rPr>
          <t xml:space="preserve">
3-8月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80" authorId="0" shapeId="0" xr:uid="{00000000-0006-0000-0F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数据丢失</t>
        </r>
      </text>
    </comment>
    <comment ref="D178" authorId="0" shapeId="0" xr:uid="{00000000-0006-0000-0F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原来的数据有误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只算买入量，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宋体"/>
            <family val="3"/>
            <charset val="134"/>
          </rPr>
          <t>不算卖出，避免重复计算。</t>
        </r>
      </text>
    </comment>
  </commentList>
</comments>
</file>

<file path=xl/sharedStrings.xml><?xml version="1.0" encoding="utf-8"?>
<sst xmlns="http://schemas.openxmlformats.org/spreadsheetml/2006/main" count="2989" uniqueCount="1162">
  <si>
    <t>日期</t>
  </si>
  <si>
    <t>盈利</t>
  </si>
  <si>
    <t>总资产</t>
  </si>
  <si>
    <t>新增资金</t>
  </si>
  <si>
    <t>份额</t>
  </si>
  <si>
    <t>净值</t>
  </si>
  <si>
    <t>净值百分比</t>
  </si>
  <si>
    <t>沪深300</t>
  </si>
  <si>
    <t>NA</t>
  </si>
  <si>
    <t>date</t>
  </si>
  <si>
    <t>Symbol</t>
  </si>
  <si>
    <t>Quantity</t>
  </si>
  <si>
    <t>Price</t>
  </si>
  <si>
    <t>amount</t>
  </si>
  <si>
    <t>12/3/2009</t>
  </si>
  <si>
    <t>Cash</t>
  </si>
  <si>
    <t>NTES</t>
  </si>
  <si>
    <t>8/31/2010</t>
  </si>
  <si>
    <t>9/23/2010</t>
  </si>
  <si>
    <t>KONG</t>
  </si>
  <si>
    <t>PWRD</t>
  </si>
  <si>
    <t>12/10/2010</t>
  </si>
  <si>
    <t>DANG</t>
  </si>
  <si>
    <t>YOKU</t>
  </si>
  <si>
    <t>3/7/2011</t>
  </si>
  <si>
    <t>3/8/2011</t>
  </si>
  <si>
    <t>4/12/2011</t>
  </si>
  <si>
    <t>BIDU</t>
  </si>
  <si>
    <t>1/23/2013</t>
  </si>
  <si>
    <t>2/20/2013</t>
  </si>
  <si>
    <t>3/5/2013</t>
  </si>
  <si>
    <t>AAPL</t>
  </si>
  <si>
    <t>YY</t>
  </si>
  <si>
    <t>QIHU</t>
  </si>
  <si>
    <t>3/7/2013</t>
  </si>
  <si>
    <t>5/2/2013</t>
  </si>
  <si>
    <t>5/7/2013</t>
  </si>
  <si>
    <t>SINA</t>
  </si>
  <si>
    <t>6/17/2013</t>
  </si>
  <si>
    <t>6/20/2013</t>
  </si>
  <si>
    <t>TSLA</t>
  </si>
  <si>
    <t>6/24/2013</t>
  </si>
  <si>
    <t>6/27/2013</t>
  </si>
  <si>
    <t>7/9/2013</t>
  </si>
  <si>
    <t>8/19/2013</t>
  </si>
  <si>
    <t>10/18/2013</t>
  </si>
  <si>
    <t>11/7/2013</t>
  </si>
  <si>
    <t>余量资金</t>
  </si>
  <si>
    <t>11/21/2013</t>
  </si>
  <si>
    <t>11/25/2013</t>
  </si>
  <si>
    <t>总价值</t>
  </si>
  <si>
    <t>12/16/2013</t>
  </si>
  <si>
    <t>1/7/2014</t>
  </si>
  <si>
    <t>1/14/2014</t>
  </si>
  <si>
    <t>1/15/2014</t>
  </si>
  <si>
    <t>ATHM</t>
  </si>
  <si>
    <t>1/22/2014</t>
  </si>
  <si>
    <t>SFUN</t>
  </si>
  <si>
    <t>1/23/2014</t>
  </si>
  <si>
    <t>CCIH</t>
  </si>
  <si>
    <t>1/24/2014</t>
  </si>
  <si>
    <t>1/27/2014</t>
  </si>
  <si>
    <t>SCTY</t>
  </si>
  <si>
    <t>1/29/2014</t>
  </si>
  <si>
    <t>1/31/2014</t>
  </si>
  <si>
    <t>2/3/2014</t>
  </si>
  <si>
    <t>2/11/2014</t>
  </si>
  <si>
    <t>2/13/2014</t>
  </si>
  <si>
    <t>2/18/2014</t>
  </si>
  <si>
    <t>2/26/2014</t>
  </si>
  <si>
    <t>3/3/2014</t>
  </si>
  <si>
    <t>3/5/2014</t>
  </si>
  <si>
    <t>3/10/2014</t>
  </si>
  <si>
    <t>Margin</t>
  </si>
  <si>
    <t>03/26/2014</t>
  </si>
  <si>
    <t>年初</t>
  </si>
  <si>
    <t>年末</t>
  </si>
  <si>
    <t>04/07/2014</t>
  </si>
  <si>
    <t>CALL QIHU 06/21/14 100</t>
  </si>
  <si>
    <t>CALL YY 08/16/14 80</t>
  </si>
  <si>
    <t>04/15/2014</t>
  </si>
  <si>
    <t>04/24/2014</t>
  </si>
  <si>
    <t>CALL QIHU 09/20/14 120</t>
  </si>
  <si>
    <t>04/25/2014</t>
  </si>
  <si>
    <t>CALL SFUN 11/22/14 15</t>
  </si>
  <si>
    <t>04/30/2014</t>
  </si>
  <si>
    <t>05/07/2014</t>
  </si>
  <si>
    <t>06/04/2014</t>
  </si>
  <si>
    <t>CALL NTES 01/15/16 80</t>
  </si>
  <si>
    <t>06/06/2014</t>
  </si>
  <si>
    <t>06/10/2014</t>
  </si>
  <si>
    <t>06/12/2014</t>
  </si>
  <si>
    <t>06/16/2014</t>
  </si>
  <si>
    <t>06/21/2014</t>
  </si>
  <si>
    <t>clear</t>
  </si>
  <si>
    <t>06/24/2014</t>
  </si>
  <si>
    <t>06/26/2014</t>
  </si>
  <si>
    <t>06/31/2014</t>
  </si>
  <si>
    <t>半年盈利</t>
  </si>
  <si>
    <t>12/12/2014</t>
  </si>
  <si>
    <t>WBAI</t>
  </si>
  <si>
    <t>12/08/2014</t>
  </si>
  <si>
    <t>YNDX</t>
  </si>
  <si>
    <t>12/04/2014</t>
  </si>
  <si>
    <t>CAF</t>
  </si>
  <si>
    <t>10/24/2014</t>
  </si>
  <si>
    <t>10/13/2014</t>
  </si>
  <si>
    <t>XNET</t>
  </si>
  <si>
    <t>10/10/2014</t>
  </si>
  <si>
    <t>CYOU</t>
  </si>
  <si>
    <t>09/22/2014</t>
  </si>
  <si>
    <t>09/15/2014</t>
  </si>
  <si>
    <t>09/10/2014</t>
  </si>
  <si>
    <t>ATHM 03/20/2015 Put 25.00</t>
  </si>
  <si>
    <t>09/05/2014</t>
  </si>
  <si>
    <t>TSLA 09/20/2014 Put 250.00</t>
  </si>
  <si>
    <t>09/03/2014</t>
  </si>
  <si>
    <t>09/02/2014</t>
  </si>
  <si>
    <t>TSLA 01/15/2016 Put 100.00</t>
  </si>
  <si>
    <t>08/28/2014</t>
  </si>
  <si>
    <t>QIHU 01/15/2016 Put 40.00</t>
  </si>
  <si>
    <t>08/27/2014</t>
  </si>
  <si>
    <t>NTES 01/15/2016 Call 80.00</t>
  </si>
  <si>
    <t>08/26/2014</t>
  </si>
  <si>
    <t>CASH</t>
  </si>
  <si>
    <t>上年价值</t>
  </si>
  <si>
    <t>08/25/2014</t>
  </si>
  <si>
    <t>本年新增</t>
  </si>
  <si>
    <t>08/22/2014</t>
  </si>
  <si>
    <t>QIHU 01/17/2015 Put 55.00</t>
  </si>
  <si>
    <t>当前价值</t>
  </si>
  <si>
    <r>
      <t>2</t>
    </r>
    <r>
      <rPr>
        <sz val="12"/>
        <rFont val="宋体"/>
        <family val="3"/>
        <charset val="134"/>
      </rPr>
      <t>014.12.15</t>
    </r>
  </si>
  <si>
    <t>08/18/2014</t>
  </si>
  <si>
    <t>本年盈利</t>
  </si>
  <si>
    <t>NTES 09/20/2014 Put 80.00</t>
  </si>
  <si>
    <t>08/04/2014</t>
  </si>
  <si>
    <t>总资金</t>
  </si>
  <si>
    <t>07/25/2014</t>
  </si>
  <si>
    <t>FHKIX</t>
  </si>
  <si>
    <t>操作</t>
  </si>
  <si>
    <t>证券代码</t>
  </si>
  <si>
    <t>证券名称</t>
  </si>
  <si>
    <t>成交数量</t>
  </si>
  <si>
    <t>成交均价</t>
  </si>
  <si>
    <t>发生金额</t>
  </si>
  <si>
    <t>银行转取</t>
  </si>
  <si>
    <t>银行转存</t>
  </si>
  <si>
    <t>证券买入</t>
  </si>
  <si>
    <t>民生银行</t>
  </si>
  <si>
    <t>比亚迪</t>
  </si>
  <si>
    <t>格力电器</t>
  </si>
  <si>
    <t>招商银行</t>
  </si>
  <si>
    <t>京东方Ａ</t>
  </si>
  <si>
    <t>证券卖出</t>
  </si>
  <si>
    <t>中国重工</t>
  </si>
  <si>
    <t>泸州老窖</t>
  </si>
  <si>
    <t>民生转债</t>
  </si>
  <si>
    <t>工行转债</t>
  </si>
  <si>
    <t>石化转债</t>
  </si>
  <si>
    <t>平安转债</t>
  </si>
  <si>
    <t>利息归本</t>
  </si>
  <si>
    <t>股息入账</t>
  </si>
  <si>
    <t>转存管转入</t>
  </si>
  <si>
    <t>担保品划入</t>
  </si>
  <si>
    <t>转存管转出</t>
  </si>
  <si>
    <t>担保品划出</t>
  </si>
  <si>
    <t>长城汽车</t>
  </si>
  <si>
    <t>中国石化</t>
  </si>
  <si>
    <t>中国神华</t>
  </si>
  <si>
    <t>宝钢股份</t>
  </si>
  <si>
    <t>万  科Ａ</t>
  </si>
  <si>
    <t>基金资金拨出</t>
  </si>
  <si>
    <t>基金资金拨入</t>
  </si>
  <si>
    <t>新股申购</t>
  </si>
  <si>
    <t>飞天诚信</t>
  </si>
  <si>
    <t>龙大肉食</t>
  </si>
  <si>
    <t>申购配号</t>
  </si>
  <si>
    <t>申购返款</t>
  </si>
  <si>
    <t>国电转债</t>
  </si>
  <si>
    <t>中行转债</t>
  </si>
  <si>
    <t>菲利华</t>
  </si>
  <si>
    <t>中来股份</t>
  </si>
  <si>
    <t>天和防务</t>
  </si>
  <si>
    <t>好利来</t>
  </si>
  <si>
    <t>迪瑞医疗</t>
  </si>
  <si>
    <t>腾信股份</t>
  </si>
  <si>
    <t>申购中签</t>
  </si>
  <si>
    <t>新股入账</t>
  </si>
  <si>
    <t>基金金鑫</t>
  </si>
  <si>
    <t>银华稳进</t>
  </si>
  <si>
    <t>托管转出</t>
  </si>
  <si>
    <t>申购款</t>
  </si>
  <si>
    <t>华懋配号</t>
  </si>
  <si>
    <t>节能配号</t>
  </si>
  <si>
    <t>重燃配号</t>
  </si>
  <si>
    <t>股票质押初始交易</t>
  </si>
  <si>
    <t>飞凯材料</t>
  </si>
  <si>
    <t>京天利</t>
  </si>
  <si>
    <t>花园生物</t>
  </si>
  <si>
    <t>电光科技</t>
  </si>
  <si>
    <t>设计配号</t>
  </si>
  <si>
    <t>万盛配号</t>
  </si>
  <si>
    <t>九洲配号</t>
  </si>
  <si>
    <t>兰石配号</t>
  </si>
  <si>
    <t>股票质押购回交易</t>
  </si>
  <si>
    <t>劲拓股份</t>
  </si>
  <si>
    <t>宝色股份</t>
  </si>
  <si>
    <t>东方配号</t>
  </si>
  <si>
    <t>股息红利税补缴</t>
  </si>
  <si>
    <t>开放基金强行调增</t>
  </si>
  <si>
    <t>国泰金鑫</t>
  </si>
  <si>
    <t>萃华珠宝</t>
  </si>
  <si>
    <t>海洋王</t>
  </si>
  <si>
    <t>中电配号</t>
  </si>
  <si>
    <t>黑猫配号</t>
  </si>
  <si>
    <t>曙光配号</t>
  </si>
  <si>
    <t>石英配号</t>
  </si>
  <si>
    <t>精达配号</t>
  </si>
  <si>
    <t>合锻配号</t>
  </si>
  <si>
    <t>转债转股</t>
  </si>
  <si>
    <t>国电电力</t>
  </si>
  <si>
    <t>国电转股</t>
  </si>
  <si>
    <t>华夏300</t>
  </si>
  <si>
    <t>申购确认</t>
  </si>
  <si>
    <t>国金通用金</t>
  </si>
  <si>
    <t>开放基金赎回</t>
  </si>
  <si>
    <t>红利发放</t>
  </si>
  <si>
    <t>开放基金赎回返款</t>
  </si>
  <si>
    <t>福达配号</t>
  </si>
  <si>
    <t>赎回确认</t>
  </si>
  <si>
    <t>凯发电气</t>
  </si>
  <si>
    <t>道氏技术</t>
  </si>
  <si>
    <t>雄韬股份</t>
  </si>
  <si>
    <t>燕塘乳业</t>
  </si>
  <si>
    <t>王子新材</t>
  </si>
  <si>
    <t>柳药配号</t>
  </si>
  <si>
    <t>维格配号</t>
  </si>
  <si>
    <t>三环集团</t>
  </si>
  <si>
    <t>维格申购</t>
  </si>
  <si>
    <t>方盛配号</t>
  </si>
  <si>
    <t>海矿配号</t>
  </si>
  <si>
    <t>海矿申购</t>
  </si>
  <si>
    <t>华电配号</t>
  </si>
  <si>
    <t>华电申购</t>
  </si>
  <si>
    <t>双鹭药业</t>
  </si>
  <si>
    <t>蓝色光标</t>
  </si>
  <si>
    <t>歌尔声学</t>
  </si>
  <si>
    <t>杰瑞股份</t>
  </si>
  <si>
    <t>双汇发展</t>
  </si>
  <si>
    <t>股息入帐</t>
  </si>
  <si>
    <t>洛钼配号</t>
  </si>
  <si>
    <t>燕京转债</t>
  </si>
  <si>
    <t>洛钼发债</t>
  </si>
  <si>
    <t>石化转股</t>
  </si>
  <si>
    <t>300ETF</t>
  </si>
  <si>
    <t>开放基金申购</t>
  </si>
  <si>
    <t>富国军工</t>
  </si>
  <si>
    <t>融券卖出</t>
  </si>
  <si>
    <t>基金分拆</t>
  </si>
  <si>
    <t>军工A</t>
  </si>
  <si>
    <t>军工B</t>
  </si>
  <si>
    <t>中国平安</t>
  </si>
  <si>
    <t>中国银行</t>
  </si>
  <si>
    <t>维格娜丝</t>
  </si>
  <si>
    <t>还券买入</t>
  </si>
  <si>
    <t>买券偿还融券</t>
  </si>
  <si>
    <t>申万中小</t>
  </si>
  <si>
    <t>中小板A</t>
  </si>
  <si>
    <t>中小板B</t>
  </si>
  <si>
    <t>建信双利</t>
  </si>
  <si>
    <t>建信稳健</t>
  </si>
  <si>
    <t>建信进取</t>
  </si>
  <si>
    <t>券商A</t>
  </si>
  <si>
    <t>新股入帐</t>
  </si>
  <si>
    <t>海南矿业</t>
  </si>
  <si>
    <t>SW军工A</t>
  </si>
  <si>
    <t>托管转入</t>
  </si>
  <si>
    <t>华电重工</t>
  </si>
  <si>
    <t>洛钼转债</t>
  </si>
  <si>
    <t>葵花药业</t>
  </si>
  <si>
    <t>金盾股份</t>
  </si>
  <si>
    <t>迦南科技</t>
  </si>
  <si>
    <t>正业科技</t>
  </si>
  <si>
    <t>中矿资源</t>
  </si>
  <si>
    <t>国信证券</t>
  </si>
  <si>
    <t>批量利息归本</t>
  </si>
  <si>
    <t>高能配号</t>
  </si>
  <si>
    <t>园区配号</t>
  </si>
  <si>
    <t>南威配号</t>
  </si>
  <si>
    <t>新澳配号</t>
  </si>
  <si>
    <t>平安转股</t>
  </si>
  <si>
    <t>国金转债</t>
  </si>
  <si>
    <t>国金证券</t>
  </si>
  <si>
    <t>国金转股</t>
  </si>
  <si>
    <t>中行转股</t>
  </si>
  <si>
    <t>2015.01.01</t>
  </si>
  <si>
    <r>
      <t>当前</t>
    </r>
    <r>
      <rPr>
        <b/>
        <sz val="12"/>
        <rFont val="宋体"/>
        <family val="3"/>
        <charset val="134"/>
      </rPr>
      <t>总</t>
    </r>
    <r>
      <rPr>
        <sz val="12"/>
        <rFont val="宋体"/>
        <family val="3"/>
        <charset val="134"/>
      </rPr>
      <t>市值</t>
    </r>
  </si>
  <si>
    <t>2014投入资金</t>
  </si>
  <si>
    <t>盈利率</t>
  </si>
  <si>
    <t>编号</t>
  </si>
  <si>
    <t>名称</t>
  </si>
  <si>
    <t>股数</t>
  </si>
  <si>
    <t>单价</t>
  </si>
  <si>
    <t>金额</t>
  </si>
  <si>
    <t>资金成本</t>
  </si>
  <si>
    <t>当前资产</t>
  </si>
  <si>
    <t>比亚迪H</t>
  </si>
  <si>
    <t>转入</t>
  </si>
  <si>
    <t>现值</t>
  </si>
  <si>
    <t>余额</t>
  </si>
  <si>
    <t>汇率</t>
  </si>
  <si>
    <t>净值累积涨幅</t>
  </si>
  <si>
    <t>HS300累积涨幅</t>
  </si>
  <si>
    <t>累积跑赢</t>
  </si>
  <si>
    <t>资金</t>
  </si>
  <si>
    <t>沪深300单日</t>
  </si>
  <si>
    <t>代码</t>
  </si>
  <si>
    <t xml:space="preserve">名称 </t>
  </si>
  <si>
    <t>价格</t>
  </si>
  <si>
    <t>手续费</t>
  </si>
  <si>
    <t>H股ETF</t>
  </si>
  <si>
    <t>年化</t>
    <phoneticPr fontId="3" type="noConversion"/>
  </si>
  <si>
    <t>成分券代码
Constituent Code</t>
  </si>
  <si>
    <t>成分券名称
Constituent Name</t>
  </si>
  <si>
    <t>成分券英文名称
Constituent Name(Eng.)</t>
  </si>
  <si>
    <t>交易所
Exchange</t>
  </si>
  <si>
    <t>000002</t>
  </si>
  <si>
    <t>万科Ａ</t>
  </si>
  <si>
    <t>China Vanke Co Ltd</t>
  </si>
  <si>
    <t>Shenzhen</t>
  </si>
  <si>
    <t>哈药股份</t>
  </si>
  <si>
    <t>000012</t>
  </si>
  <si>
    <t>南  玻Ａ</t>
  </si>
  <si>
    <t>CSG Holding Co Ltd</t>
  </si>
  <si>
    <t>000027</t>
  </si>
  <si>
    <t>深圳能源</t>
  </si>
  <si>
    <t>Shenzhen Energy Group Co Ltd</t>
  </si>
  <si>
    <t>中恒集团</t>
  </si>
  <si>
    <t>000039</t>
  </si>
  <si>
    <t>中集集团</t>
  </si>
  <si>
    <t>China International Marine Containers (Group) Co Ltd</t>
  </si>
  <si>
    <t>大秦铁路</t>
  </si>
  <si>
    <t>000157</t>
  </si>
  <si>
    <t>中联重科</t>
  </si>
  <si>
    <t>Zoomlion Heavy Industry Science &amp; Technology Co Ltd</t>
  </si>
  <si>
    <t>宇通客车</t>
  </si>
  <si>
    <t>000333</t>
  </si>
  <si>
    <t>美的集团</t>
  </si>
  <si>
    <t>Midea Group CO., LTD</t>
  </si>
  <si>
    <t>风神股份</t>
  </si>
  <si>
    <t>000402</t>
  </si>
  <si>
    <t>金 融 街</t>
  </si>
  <si>
    <t>Financial Street Holding Co Ltd</t>
  </si>
  <si>
    <t>华能国际</t>
  </si>
  <si>
    <t>000488</t>
  </si>
  <si>
    <t>晨鸣纸业</t>
    <phoneticPr fontId="3" type="noConversion"/>
  </si>
  <si>
    <t>Shandong Chenming Paper Holdings Ltd</t>
  </si>
  <si>
    <t>东方铁塔</t>
  </si>
  <si>
    <t>000539</t>
  </si>
  <si>
    <t>粤电力Ａ</t>
  </si>
  <si>
    <t>Guangdong Electric Power Development Co Ltd</t>
  </si>
  <si>
    <t>上汽集团</t>
  </si>
  <si>
    <t>000541</t>
  </si>
  <si>
    <t>佛山照明</t>
  </si>
  <si>
    <t>Foshan Electrical and Lighting Co Ltd</t>
  </si>
  <si>
    <t>华电国际</t>
  </si>
  <si>
    <t>000550</t>
  </si>
  <si>
    <t>江铃汽车</t>
  </si>
  <si>
    <t>Jiangling Motors Corp Ltd</t>
  </si>
  <si>
    <t>农业银行</t>
  </si>
  <si>
    <t>000568</t>
  </si>
  <si>
    <t>Luzhou Lao Jiao Co Ltd</t>
  </si>
  <si>
    <t>工商银行</t>
  </si>
  <si>
    <t>000600</t>
  </si>
  <si>
    <t>建投能源</t>
  </si>
  <si>
    <t>Hebei Jointo Energy Investment Co Ltd</t>
  </si>
  <si>
    <t>建设银行</t>
  </si>
  <si>
    <t>000651</t>
  </si>
  <si>
    <t>Gree Electric Appliances,Inc. of Zhuhai</t>
  </si>
  <si>
    <t>S佳通</t>
  </si>
  <si>
    <t>000690</t>
  </si>
  <si>
    <t>宝新能源</t>
  </si>
  <si>
    <t>Guangdong Baolihua New Energy Stock Co.,Ltd</t>
  </si>
  <si>
    <t>000726</t>
  </si>
  <si>
    <t>鲁  泰Ａ</t>
  </si>
  <si>
    <t>Lu Thai Textile Co Ltd</t>
  </si>
  <si>
    <t>000783</t>
  </si>
  <si>
    <t>长江证券</t>
  </si>
  <si>
    <t>Changjiang Securities Company Limited</t>
  </si>
  <si>
    <t>000828</t>
  </si>
  <si>
    <t>东莞控股</t>
  </si>
  <si>
    <t>Dongguan Development (Holdings) Co Ltd</t>
  </si>
  <si>
    <t>浙江永强</t>
  </si>
  <si>
    <t>000895</t>
  </si>
  <si>
    <t>Henan Shuanghui Investment &amp; Development Co Ltd</t>
  </si>
  <si>
    <t>广日股份</t>
  </si>
  <si>
    <t>000987</t>
  </si>
  <si>
    <t>越秀金控</t>
  </si>
  <si>
    <t>Guangzhou Yuexiu Financial Holdings Group Co., Ltd.</t>
  </si>
  <si>
    <t>浙能电力</t>
  </si>
  <si>
    <t>002001</t>
  </si>
  <si>
    <t>新和成</t>
  </si>
  <si>
    <t>Zhejiang NHU Co Ltd</t>
  </si>
  <si>
    <t>002003</t>
  </si>
  <si>
    <t>伟星股份</t>
  </si>
  <si>
    <t>Zhejiang Weixing Industrial Development Co Ltd</t>
  </si>
  <si>
    <t>光大银行</t>
  </si>
  <si>
    <t>002142</t>
  </si>
  <si>
    <t>宁波银行</t>
  </si>
  <si>
    <t>Bank of Ningbo Co Ltd</t>
  </si>
  <si>
    <t>交通银行</t>
  </si>
  <si>
    <t>002206</t>
  </si>
  <si>
    <t>海利得</t>
  </si>
  <si>
    <t>Zhejiang Hailide New Material Co Ltd</t>
  </si>
  <si>
    <t>京能电力</t>
  </si>
  <si>
    <t>002226</t>
  </si>
  <si>
    <t>江南化工</t>
  </si>
  <si>
    <t>Anhui Jiangnan Chemical Industry Co Ltd</t>
  </si>
  <si>
    <t>华联综超</t>
  </si>
  <si>
    <t>002242</t>
  </si>
  <si>
    <t>九阳股份</t>
  </si>
  <si>
    <t>Joyoung Co Ltd</t>
  </si>
  <si>
    <t>雅戈尔</t>
  </si>
  <si>
    <t>002304</t>
  </si>
  <si>
    <t>洋河股份</t>
  </si>
  <si>
    <t>Jiangsu Yanghe Brewery Joint-Stock Co Ltd</t>
  </si>
  <si>
    <t>东风股份</t>
  </si>
  <si>
    <t>002372</t>
  </si>
  <si>
    <t>伟星新材</t>
  </si>
  <si>
    <t>Zhejiang Weixing New Building Materials Co Ltd</t>
  </si>
  <si>
    <t>福耀玻璃</t>
  </si>
  <si>
    <t>002394</t>
  </si>
  <si>
    <t>联发股份</t>
  </si>
  <si>
    <t>Jiangsu Lianfa Textile Co Ltd</t>
  </si>
  <si>
    <t>宁沪高速</t>
  </si>
  <si>
    <t>002489</t>
  </si>
  <si>
    <t>Yotrio Group Co Ltd</t>
  </si>
  <si>
    <t>002561</t>
  </si>
  <si>
    <t>徐家汇</t>
  </si>
  <si>
    <t>Shanghai Xujiahui Commercial Co Ltd</t>
  </si>
  <si>
    <t>鲁 泰Ａ</t>
  </si>
  <si>
    <t>600000</t>
  </si>
  <si>
    <t>浦发银行</t>
  </si>
  <si>
    <t>Shanghai Pudong Development Bank Co Ltd</t>
  </si>
  <si>
    <t>Shanghai</t>
  </si>
  <si>
    <t>百润股份</t>
  </si>
  <si>
    <t>600004</t>
  </si>
  <si>
    <t>白云机场</t>
  </si>
  <si>
    <t>Guangzhou Baiyun International Airport Co Ltd</t>
  </si>
  <si>
    <t>招商证券</t>
  </si>
  <si>
    <t>600008</t>
  </si>
  <si>
    <t>首创股份</t>
  </si>
  <si>
    <t>Beijing Capital Co Ltd</t>
  </si>
  <si>
    <t>天虹商场</t>
  </si>
  <si>
    <t>600009</t>
  </si>
  <si>
    <t>上海机场</t>
  </si>
  <si>
    <t>Shanghai International Airport Co Ltd</t>
  </si>
  <si>
    <t>华域汽车</t>
  </si>
  <si>
    <t>600011</t>
  </si>
  <si>
    <t>Huaneng Power International Inc</t>
  </si>
  <si>
    <t>长安汽车</t>
  </si>
  <si>
    <t>600012</t>
  </si>
  <si>
    <t>皖通高速</t>
  </si>
  <si>
    <t>Anhui Expressway Co Ltd</t>
  </si>
  <si>
    <t>深高速</t>
  </si>
  <si>
    <t>600015</t>
  </si>
  <si>
    <t>华夏银行</t>
  </si>
  <si>
    <t>Hua Xia Bank Co Ltd</t>
  </si>
  <si>
    <t>艾华集团</t>
  </si>
  <si>
    <t>600016</t>
  </si>
  <si>
    <t>China Minsheng Banking Corp Ltd</t>
  </si>
  <si>
    <t>600018</t>
  </si>
  <si>
    <t>上港集团</t>
  </si>
  <si>
    <t>Shanghai International Port (Group) Co Ltd</t>
  </si>
  <si>
    <t>国投电力</t>
  </si>
  <si>
    <t>600019</t>
  </si>
  <si>
    <t>Baoshan Iron &amp;Steel Co Ltd</t>
  </si>
  <si>
    <t>王府井</t>
  </si>
  <si>
    <t>600021</t>
  </si>
  <si>
    <t>上海电力</t>
  </si>
  <si>
    <t>Shanghai Electric Power Co Ltd</t>
  </si>
  <si>
    <t>兴业银行</t>
  </si>
  <si>
    <t>600023</t>
  </si>
  <si>
    <t>Zhejiang Zheneng Electric Power Co., Ltd.</t>
  </si>
  <si>
    <t>中国太保</t>
  </si>
  <si>
    <t>600027</t>
  </si>
  <si>
    <t>Huadian Power International Corporation Ltd</t>
  </si>
  <si>
    <t>600028</t>
  </si>
  <si>
    <t>China Petroleum &amp; Chemical Corporation</t>
  </si>
  <si>
    <t>600033</t>
  </si>
  <si>
    <t>福建高速</t>
  </si>
  <si>
    <t>Fujian Expressway Development Co Ltd</t>
  </si>
  <si>
    <t>皖能电力</t>
  </si>
  <si>
    <t>600036</t>
  </si>
  <si>
    <t>China Merchants Bank Co Ltd</t>
  </si>
  <si>
    <t>正泰电器</t>
  </si>
  <si>
    <t>600048</t>
  </si>
  <si>
    <t>保利地产</t>
  </si>
  <si>
    <t>Poly Real Estate Group Co Ltd</t>
  </si>
  <si>
    <t>600066</t>
  </si>
  <si>
    <t>Zhengzhou Yutong Bus Co Ltd</t>
  </si>
  <si>
    <t>奥康国际</t>
  </si>
  <si>
    <t>600098</t>
  </si>
  <si>
    <t>广州发展</t>
  </si>
  <si>
    <t>Guangzhou Development Group Incorporated</t>
  </si>
  <si>
    <t>海印股份</t>
  </si>
  <si>
    <t>600104</t>
  </si>
  <si>
    <t>SAIC Motor Co Ltd</t>
  </si>
  <si>
    <t>宗申动力</t>
  </si>
  <si>
    <t>600153</t>
  </si>
  <si>
    <t>建发股份</t>
  </si>
  <si>
    <t>Xiamen C&amp;D Inc</t>
  </si>
  <si>
    <t>600160</t>
  </si>
  <si>
    <t>巨化股份</t>
  </si>
  <si>
    <t>Zhejiang Ju Hua Co Ltd</t>
  </si>
  <si>
    <t>中原高速</t>
  </si>
  <si>
    <t>600177</t>
  </si>
  <si>
    <t>Youngor Group Co Ltd</t>
  </si>
  <si>
    <t>重庆水务</t>
  </si>
  <si>
    <t>600183</t>
  </si>
  <si>
    <t>生益科技</t>
  </si>
  <si>
    <t>Shengyi Technology Co.,Ltd.</t>
  </si>
  <si>
    <t>600197</t>
  </si>
  <si>
    <t>伊力特</t>
  </si>
  <si>
    <t>Xinjiang Yilite Industry Co Ltd</t>
  </si>
  <si>
    <t>600210</t>
  </si>
  <si>
    <t>紫江企业</t>
  </si>
  <si>
    <t>Shanghai Zijiang Enterprise Group Co Ltd</t>
  </si>
  <si>
    <t>上海家化</t>
  </si>
  <si>
    <t>600309</t>
  </si>
  <si>
    <t>万华化学</t>
  </si>
  <si>
    <t>Wanhua Chemical Group Co., Ltd.</t>
  </si>
  <si>
    <t>唐山港</t>
  </si>
  <si>
    <t>600350</t>
  </si>
  <si>
    <t>山东高速</t>
  </si>
  <si>
    <t>Shandong Hi-speed Company Limited</t>
  </si>
  <si>
    <t>金地集团</t>
  </si>
  <si>
    <t>600376</t>
  </si>
  <si>
    <t>首开股份</t>
  </si>
  <si>
    <t>Beijing Capital Development Co.,Ltd.</t>
  </si>
  <si>
    <t>西南证券</t>
  </si>
  <si>
    <t>600377</t>
  </si>
  <si>
    <t>Jiangsu Expressway Co Ltd</t>
  </si>
  <si>
    <t>晨鸣纸业</t>
  </si>
  <si>
    <t>600395</t>
  </si>
  <si>
    <t>盘江股份</t>
  </si>
  <si>
    <t>Guizhou Panjiang Refined Coal Co Ltd</t>
  </si>
  <si>
    <t>申能股份</t>
  </si>
  <si>
    <t>600479</t>
  </si>
  <si>
    <t>千金药业</t>
  </si>
  <si>
    <t>Zhuzhou Qianjin Pharmaceutical Co Ltd</t>
  </si>
  <si>
    <t>国泰君安</t>
  </si>
  <si>
    <t>600481</t>
  </si>
  <si>
    <t>双良节能</t>
  </si>
  <si>
    <t>Shuangliang Eco-Energy Systems Co.,Ltd</t>
  </si>
  <si>
    <t>海油工程</t>
  </si>
  <si>
    <t>600500</t>
  </si>
  <si>
    <t>中化国际</t>
  </si>
  <si>
    <t>Sinochem International Corp</t>
  </si>
  <si>
    <t>新 希 望</t>
  </si>
  <si>
    <t>600507</t>
  </si>
  <si>
    <t>方大特钢</t>
  </si>
  <si>
    <t>Fangda Special Steel Technology Co.,Ltd</t>
  </si>
  <si>
    <t>600563</t>
  </si>
  <si>
    <t>法拉电子</t>
  </si>
  <si>
    <t>Xiamen Faratronic Co.,Ltd.</t>
  </si>
  <si>
    <t>中信银行</t>
  </si>
  <si>
    <t>600578</t>
  </si>
  <si>
    <t>BEIJING JINGNENG POWER CO., LTD.</t>
  </si>
  <si>
    <t>600642</t>
  </si>
  <si>
    <t>Shenergy Co Ltd</t>
  </si>
  <si>
    <t>大唐发电</t>
  </si>
  <si>
    <t>600660</t>
  </si>
  <si>
    <t>Fuyao Glass Industry Group Co.,Ltd</t>
  </si>
  <si>
    <t>中国建筑</t>
  </si>
  <si>
    <t>600694</t>
  </si>
  <si>
    <t>大商股份</t>
  </si>
  <si>
    <t>Dashang Co Ltd</t>
  </si>
  <si>
    <t>孚日股份</t>
  </si>
  <si>
    <t>600741</t>
  </si>
  <si>
    <t>HUAYU Automotive Systems Company Limited</t>
  </si>
  <si>
    <t>赣粤高速</t>
  </si>
  <si>
    <t>600743</t>
  </si>
  <si>
    <t>华远地产</t>
  </si>
  <si>
    <t>Hua Yuan Property Co.,Ltd.</t>
  </si>
  <si>
    <t>桂东电力</t>
  </si>
  <si>
    <t>600750</t>
  </si>
  <si>
    <t>江中药业</t>
  </si>
  <si>
    <t>Jiangzhong Pharmaceutical Co.,Ltd</t>
  </si>
  <si>
    <t>600795</t>
  </si>
  <si>
    <t>GD Power Development Co Ltd</t>
  </si>
  <si>
    <t>红 太 阳</t>
  </si>
  <si>
    <t>600835</t>
  </si>
  <si>
    <t>上海机电</t>
  </si>
  <si>
    <t>Shanghai Mechanical &amp; Electrical Industry Co Ltd</t>
  </si>
  <si>
    <t>中信证券</t>
  </si>
  <si>
    <t>600863</t>
  </si>
  <si>
    <t>内蒙华电</t>
  </si>
  <si>
    <t>Inner Mongolia Mengdian Huaneng Thermal Power Corp Ltd</t>
  </si>
  <si>
    <t>九牧王</t>
  </si>
  <si>
    <t>600886</t>
  </si>
  <si>
    <t>SDIC Power Holdings Co.,Ltd.</t>
  </si>
  <si>
    <t>600900</t>
  </si>
  <si>
    <t>长江电力</t>
  </si>
  <si>
    <t>China Yangtze Power Co Ltd</t>
  </si>
  <si>
    <t>万 科Ａ</t>
  </si>
  <si>
    <t>601006</t>
  </si>
  <si>
    <t>Daqin Railway Co Ltd</t>
  </si>
  <si>
    <t>601009</t>
  </si>
  <si>
    <t>南京银行</t>
  </si>
  <si>
    <t>Bank of Nanjing Co Ltd</t>
  </si>
  <si>
    <t>601010</t>
  </si>
  <si>
    <t>文峰股份</t>
  </si>
  <si>
    <t>Wenfeng Great World Chain Development Corporation</t>
  </si>
  <si>
    <t>601088</t>
  </si>
  <si>
    <t>China Shenhua Energy Co Ltd</t>
  </si>
  <si>
    <t>601158</t>
  </si>
  <si>
    <t>Chongqing Water Group Co Ltd</t>
  </si>
  <si>
    <t>光大证券</t>
  </si>
  <si>
    <t>601166</t>
  </si>
  <si>
    <t>Industrial Bank</t>
  </si>
  <si>
    <t>川投能源</t>
  </si>
  <si>
    <t>601186</t>
  </si>
  <si>
    <t>中国铁建</t>
  </si>
  <si>
    <t>China Railway Construction Co Ltd</t>
  </si>
  <si>
    <t>601288</t>
  </si>
  <si>
    <t>Agricultural Bank of China Co Ltd</t>
  </si>
  <si>
    <t>601328</t>
  </si>
  <si>
    <t>Bank of Communications Co LTD</t>
  </si>
  <si>
    <t>海通证券</t>
  </si>
  <si>
    <t>601333</t>
  </si>
  <si>
    <t>广深铁路</t>
  </si>
  <si>
    <t>Guangshen Railway Company Limited</t>
  </si>
  <si>
    <t>赣能股份</t>
  </si>
  <si>
    <t>601369</t>
  </si>
  <si>
    <t>陕鼓动力</t>
  </si>
  <si>
    <t>Xi'an Shaangu Power Co Ltd</t>
  </si>
  <si>
    <t>汉缆股份</t>
  </si>
  <si>
    <t>601398</t>
  </si>
  <si>
    <t>Industrial and Commercial Bank of China Ltd</t>
  </si>
  <si>
    <t>金风科技</t>
  </si>
  <si>
    <t>601566</t>
  </si>
  <si>
    <t>Joeone Co Ltd</t>
  </si>
  <si>
    <t>中国中车</t>
  </si>
  <si>
    <t>601668</t>
  </si>
  <si>
    <t>China State Construction Engineering Co Ltd</t>
  </si>
  <si>
    <t>潍柴动力</t>
  </si>
  <si>
    <t>601800</t>
  </si>
  <si>
    <t>中国交建</t>
  </si>
  <si>
    <t>China Communications Construction Company Limited</t>
  </si>
  <si>
    <t>601818</t>
  </si>
  <si>
    <t>China Everbright Bank Co Ltd</t>
  </si>
  <si>
    <t>601857</t>
  </si>
  <si>
    <t>中国石油</t>
  </si>
  <si>
    <t>PetroChina Co Ltd</t>
  </si>
  <si>
    <t>上海建工</t>
  </si>
  <si>
    <t>601877</t>
  </si>
  <si>
    <t>Zhejiang Chint Electrics Co Ltd</t>
  </si>
  <si>
    <t>海澜之家</t>
  </si>
  <si>
    <t>601939</t>
  </si>
  <si>
    <t>China Construction Bank</t>
  </si>
  <si>
    <t>601988</t>
  </si>
  <si>
    <t>Bank of China Ltd</t>
  </si>
  <si>
    <t>603366</t>
  </si>
  <si>
    <t>日出东方</t>
  </si>
  <si>
    <t>Jiangsu Sunrain Solar Energy Co.,Ltd.</t>
  </si>
  <si>
    <t>荣盛发展</t>
  </si>
  <si>
    <t>格力电器  </t>
  </si>
  <si>
    <t>￥</t>
  </si>
  <si>
    <t>1156.22亿</t>
  </si>
  <si>
    <t>大秦铁路  </t>
  </si>
  <si>
    <t>960.39亿</t>
  </si>
  <si>
    <t>宇通客车  </t>
  </si>
  <si>
    <t>487.95亿</t>
  </si>
  <si>
    <t>风神股份  </t>
  </si>
  <si>
    <t>57.20亿</t>
  </si>
  <si>
    <t>华能国际  </t>
  </si>
  <si>
    <t>968.55亿</t>
  </si>
  <si>
    <t>上汽集团  </t>
  </si>
  <si>
    <t>2594.32亿</t>
  </si>
  <si>
    <t>华电国际  </t>
  </si>
  <si>
    <t>499.99亿</t>
  </si>
  <si>
    <t>工商银行  </t>
  </si>
  <si>
    <t>1.56万亿</t>
  </si>
  <si>
    <t>农业银行  </t>
  </si>
  <si>
    <t>1.02万亿</t>
  </si>
  <si>
    <t>建设银行  </t>
  </si>
  <si>
    <t>1.21万亿</t>
  </si>
  <si>
    <t>雅戈尔  </t>
  </si>
  <si>
    <t>398.56亿</t>
  </si>
  <si>
    <t>S佳通  </t>
  </si>
  <si>
    <t>63.04亿</t>
  </si>
  <si>
    <t>中国银行  </t>
  </si>
  <si>
    <t>1.01万亿</t>
  </si>
  <si>
    <t>双汇发展  </t>
  </si>
  <si>
    <t>814.32亿</t>
  </si>
  <si>
    <t>广日股份  </t>
  </si>
  <si>
    <t>128.90亿</t>
  </si>
  <si>
    <t>华域汽车  </t>
  </si>
  <si>
    <t>513.57亿</t>
  </si>
  <si>
    <t>建投能源  </t>
  </si>
  <si>
    <t>171.28亿</t>
  </si>
  <si>
    <t>光大银行  </t>
  </si>
  <si>
    <t>1824.52亿</t>
  </si>
  <si>
    <t>交通银行  </t>
  </si>
  <si>
    <t>4762.56亿</t>
  </si>
  <si>
    <t>京能电力  </t>
  </si>
  <si>
    <t>201.78亿</t>
  </si>
  <si>
    <t>华联综超  </t>
  </si>
  <si>
    <t>43.74亿</t>
  </si>
  <si>
    <t>-</t>
  </si>
  <si>
    <t>广发证券  </t>
  </si>
  <si>
    <t>1317.78亿</t>
  </si>
  <si>
    <t>东风股份  </t>
  </si>
  <si>
    <t>135.78亿</t>
  </si>
  <si>
    <t>福耀玻璃  </t>
  </si>
  <si>
    <t>431.64亿</t>
  </si>
  <si>
    <t>宁沪高速  </t>
  </si>
  <si>
    <t>466.70亿</t>
  </si>
  <si>
    <t>赣能股份  </t>
  </si>
  <si>
    <t>90.93亿</t>
  </si>
  <si>
    <t>招商证券  </t>
  </si>
  <si>
    <t>1058.82亿</t>
  </si>
  <si>
    <t>天虹商场  </t>
  </si>
  <si>
    <t>107.15亿</t>
  </si>
  <si>
    <t>大唐发电  </t>
  </si>
  <si>
    <t>476.97亿</t>
  </si>
  <si>
    <t>深高速  </t>
  </si>
  <si>
    <t>171.67亿</t>
  </si>
  <si>
    <t>桂冠电力  </t>
  </si>
  <si>
    <t>463.24亿</t>
  </si>
  <si>
    <t>深赤湾B  </t>
  </si>
  <si>
    <t>HK$</t>
  </si>
  <si>
    <t>113.04亿</t>
  </si>
  <si>
    <t>国投电力  </t>
  </si>
  <si>
    <t>498.77亿</t>
  </si>
  <si>
    <t>兴业银行  </t>
  </si>
  <si>
    <t>3059.80亿</t>
  </si>
  <si>
    <t>王府井  </t>
  </si>
  <si>
    <t>107.26亿</t>
  </si>
  <si>
    <t>中国太保  </t>
  </si>
  <si>
    <t>2337.09亿</t>
  </si>
  <si>
    <t>联发股份  </t>
  </si>
  <si>
    <t>51.57亿</t>
  </si>
  <si>
    <t>招商银行  </t>
  </si>
  <si>
    <t>4574.47亿</t>
  </si>
  <si>
    <t>皖能电力  </t>
  </si>
  <si>
    <t>152.18亿</t>
  </si>
  <si>
    <t>正泰电器  </t>
  </si>
  <si>
    <t>287.38亿</t>
  </si>
  <si>
    <t>国电电力  </t>
  </si>
  <si>
    <t>603.26亿</t>
  </si>
  <si>
    <t>奥康国际  </t>
  </si>
  <si>
    <t>84.13亿</t>
  </si>
  <si>
    <t>宗申动力  </t>
  </si>
  <si>
    <t>116.79亿</t>
  </si>
  <si>
    <t>保利地产  </t>
  </si>
  <si>
    <t>1178.66亿</t>
  </si>
  <si>
    <t>红太阳  </t>
  </si>
  <si>
    <t>84.56亿</t>
  </si>
  <si>
    <t>华夏银行  </t>
  </si>
  <si>
    <t>1130.53亿</t>
  </si>
  <si>
    <t>中原高速  </t>
  </si>
  <si>
    <t>105.18亿</t>
  </si>
  <si>
    <t>重庆水务  </t>
  </si>
  <si>
    <t>367.20亿</t>
  </si>
  <si>
    <t>九阳股份  </t>
  </si>
  <si>
    <t>158.51亿</t>
  </si>
  <si>
    <t>光大证券  </t>
  </si>
  <si>
    <t>695.01亿</t>
  </si>
  <si>
    <t>国信证券  </t>
  </si>
  <si>
    <t>1459.60亿</t>
  </si>
  <si>
    <t>上海家化  </t>
  </si>
  <si>
    <t>198.10亿</t>
  </si>
  <si>
    <t>伟星股份  </t>
  </si>
  <si>
    <t>63.95亿</t>
  </si>
  <si>
    <t>唐山港  </t>
  </si>
  <si>
    <t>168.77亿</t>
  </si>
  <si>
    <t>金地集团  </t>
  </si>
  <si>
    <t>567.98亿</t>
  </si>
  <si>
    <t>南京银行  </t>
  </si>
  <si>
    <t>657.98亿</t>
  </si>
  <si>
    <t>中信银行  </t>
  </si>
  <si>
    <t>2837.33亿</t>
  </si>
  <si>
    <t>申能股份  </t>
  </si>
  <si>
    <t>278.13亿</t>
  </si>
  <si>
    <t>国泰君安  </t>
  </si>
  <si>
    <t>1455.60亿</t>
  </si>
  <si>
    <t>海油工程  </t>
  </si>
  <si>
    <t>340.44亿</t>
  </si>
  <si>
    <t>新希望  </t>
  </si>
  <si>
    <t>356.38亿</t>
  </si>
  <si>
    <t>振东制药  </t>
  </si>
  <si>
    <t>94.47亿</t>
  </si>
  <si>
    <t>长江证券  </t>
  </si>
  <si>
    <t>622.62亿</t>
  </si>
  <si>
    <t>中国建筑  </t>
  </si>
  <si>
    <t>1938.00亿</t>
  </si>
  <si>
    <t>赣粤高速  </t>
  </si>
  <si>
    <t>113.27亿</t>
  </si>
  <si>
    <t>孚日股份  </t>
  </si>
  <si>
    <t>58.84亿</t>
  </si>
  <si>
    <t>荣盛发展  </t>
  </si>
  <si>
    <t>354.38亿</t>
  </si>
  <si>
    <t>浙能电力  </t>
  </si>
  <si>
    <t>739.88亿</t>
  </si>
  <si>
    <t>中国石化  </t>
  </si>
  <si>
    <t>5993.78亿</t>
  </si>
  <si>
    <t>中信证券  </t>
  </si>
  <si>
    <t>2005.98亿</t>
  </si>
  <si>
    <t>九牧王  </t>
  </si>
  <si>
    <t>97.63亿</t>
  </si>
  <si>
    <t>福建高速  </t>
  </si>
  <si>
    <t>93.58亿</t>
  </si>
  <si>
    <t>万科A  </t>
  </si>
  <si>
    <t>2608.11亿</t>
  </si>
  <si>
    <t>上港集团  </t>
  </si>
  <si>
    <t>1221.25亿</t>
  </si>
  <si>
    <t>东莞控股  </t>
  </si>
  <si>
    <t>106.76亿</t>
  </si>
  <si>
    <t>金融街  </t>
  </si>
  <si>
    <t>409.48亿</t>
  </si>
  <si>
    <t>长江电力  </t>
  </si>
  <si>
    <t>3033.78亿</t>
  </si>
  <si>
    <t>美的集团  </t>
  </si>
  <si>
    <t>1783.34亿</t>
  </si>
  <si>
    <t>川投能源  </t>
  </si>
  <si>
    <t>414.68亿</t>
  </si>
  <si>
    <t>深圳能源  </t>
  </si>
  <si>
    <t>277.91亿</t>
  </si>
  <si>
    <t>浦发银行  </t>
  </si>
  <si>
    <t>3547.62亿</t>
  </si>
  <si>
    <t>山东高速  </t>
  </si>
  <si>
    <t>302.62亿</t>
  </si>
  <si>
    <t>海通证券  </t>
  </si>
  <si>
    <t>1675.13亿</t>
  </si>
  <si>
    <t>汉缆股份  </t>
  </si>
  <si>
    <t>155.03亿</t>
  </si>
  <si>
    <t>金风科技  </t>
  </si>
  <si>
    <t>436.44亿</t>
  </si>
  <si>
    <t>中天城投  </t>
  </si>
  <si>
    <t>334.84亿</t>
  </si>
  <si>
    <t>中国中车  </t>
  </si>
  <si>
    <t>2516.36亿</t>
  </si>
  <si>
    <t>伟星新材  </t>
  </si>
  <si>
    <t>129.00亿</t>
  </si>
  <si>
    <t>宁波银行  </t>
  </si>
  <si>
    <t>633.72亿</t>
  </si>
  <si>
    <t>平高电气  </t>
  </si>
  <si>
    <t>206.45亿</t>
  </si>
  <si>
    <t>上海建工  </t>
  </si>
  <si>
    <t>325.21亿</t>
  </si>
  <si>
    <t>海澜之家  </t>
  </si>
  <si>
    <t>540.93亿</t>
  </si>
  <si>
    <t>陕鼓动力  </t>
  </si>
  <si>
    <t>119.46亿</t>
  </si>
  <si>
    <t>中山公用  </t>
  </si>
  <si>
    <t>163.15亿</t>
  </si>
  <si>
    <t>生益科技  </t>
  </si>
  <si>
    <t>159.99亿</t>
  </si>
  <si>
    <t>天富能源  </t>
  </si>
  <si>
    <t>67.84亿</t>
  </si>
  <si>
    <t>北大荒  </t>
  </si>
  <si>
    <t>196.79亿</t>
  </si>
  <si>
    <t>外运发展  </t>
  </si>
  <si>
    <t>170.14亿</t>
  </si>
  <si>
    <t>东方证券  </t>
  </si>
  <si>
    <t>952.10亿</t>
  </si>
  <si>
    <t>洽洽食品  </t>
  </si>
  <si>
    <t>95.87亿</t>
  </si>
  <si>
    <t>长城汽车  </t>
  </si>
  <si>
    <t>840.43亿</t>
  </si>
  <si>
    <t>海螺水泥  </t>
  </si>
  <si>
    <t>903.12亿</t>
  </si>
  <si>
    <t>亚邦股份  </t>
  </si>
  <si>
    <t>111.98亿</t>
  </si>
  <si>
    <t>泸州老窖  </t>
  </si>
  <si>
    <t>438.76亿</t>
  </si>
  <si>
    <t>伊力特  </t>
  </si>
  <si>
    <t>69.02亿</t>
  </si>
  <si>
    <t>中国西电  </t>
  </si>
  <si>
    <t>281.41亿</t>
  </si>
  <si>
    <t>桂林三金  </t>
  </si>
  <si>
    <t>116.92亿</t>
  </si>
  <si>
    <t>洋河股份  </t>
  </si>
  <si>
    <t>1075.39亿</t>
  </si>
  <si>
    <t>民生银行  </t>
  </si>
  <si>
    <t>3261.02亿</t>
  </si>
  <si>
    <t>伊利股份  </t>
  </si>
  <si>
    <t>1085.02亿</t>
  </si>
  <si>
    <t>黔源电力  </t>
  </si>
  <si>
    <t>60.74亿</t>
  </si>
  <si>
    <t>海利得  </t>
  </si>
  <si>
    <t>81.56亿</t>
  </si>
  <si>
    <t>徐家汇  </t>
  </si>
  <si>
    <t>59.75亿</t>
  </si>
  <si>
    <t>西南证券  </t>
  </si>
  <si>
    <t>428.46亿</t>
  </si>
  <si>
    <t>法拉电子  </t>
  </si>
  <si>
    <t>91.08亿</t>
  </si>
  <si>
    <t>闰土股份  </t>
  </si>
  <si>
    <t>124.94亿</t>
  </si>
  <si>
    <t>宝新能源  </t>
  </si>
  <si>
    <t>177.33亿</t>
  </si>
  <si>
    <t>济川药业  </t>
  </si>
  <si>
    <t>232.84亿</t>
  </si>
  <si>
    <t>华泰证券  </t>
  </si>
  <si>
    <t>1385.71亿</t>
  </si>
  <si>
    <t>滨化股份  </t>
  </si>
  <si>
    <t>61.78亿</t>
  </si>
  <si>
    <t>评分</t>
    <phoneticPr fontId="3" type="noConversion"/>
  </si>
  <si>
    <t>定投</t>
    <phoneticPr fontId="3" type="noConversion"/>
  </si>
  <si>
    <t>成本</t>
    <phoneticPr fontId="3" type="noConversion"/>
  </si>
  <si>
    <t>净值</t>
    <phoneticPr fontId="3" type="noConversion"/>
  </si>
  <si>
    <t>市值</t>
    <phoneticPr fontId="3" type="noConversion"/>
  </si>
  <si>
    <t>持仓</t>
    <phoneticPr fontId="3" type="noConversion"/>
  </si>
  <si>
    <t>份额</t>
    <phoneticPr fontId="3" type="noConversion"/>
  </si>
  <si>
    <t>余额</t>
    <phoneticPr fontId="3" type="noConversion"/>
  </si>
  <si>
    <t>601998</t>
  </si>
  <si>
    <t>北京银行</t>
  </si>
  <si>
    <t>601169</t>
  </si>
  <si>
    <t>转入</t>
    <phoneticPr fontId="3" type="noConversion"/>
  </si>
  <si>
    <t>****3069</t>
    <phoneticPr fontId="3" type="noConversion"/>
  </si>
  <si>
    <r>
      <t>*</t>
    </r>
    <r>
      <rPr>
        <sz val="12"/>
        <rFont val="宋体"/>
        <family val="3"/>
        <charset val="134"/>
      </rPr>
      <t>***3288</t>
    </r>
    <phoneticPr fontId="3" type="noConversion"/>
  </si>
  <si>
    <r>
      <t>*</t>
    </r>
    <r>
      <rPr>
        <sz val="12"/>
        <rFont val="宋体"/>
        <family val="3"/>
        <charset val="134"/>
      </rPr>
      <t>***2552</t>
    </r>
    <phoneticPr fontId="3" type="noConversion"/>
  </si>
  <si>
    <t>汇总</t>
    <phoneticPr fontId="3" type="noConversion"/>
  </si>
  <si>
    <r>
      <t>*</t>
    </r>
    <r>
      <rPr>
        <sz val="12"/>
        <rFont val="宋体"/>
        <family val="3"/>
        <charset val="134"/>
      </rPr>
      <t>***0792</t>
    </r>
    <phoneticPr fontId="3" type="noConversion"/>
  </si>
  <si>
    <t>华西期货</t>
    <phoneticPr fontId="3" type="noConversion"/>
  </si>
  <si>
    <t>立马理财</t>
    <phoneticPr fontId="3" type="noConversion"/>
  </si>
  <si>
    <t>红利定投</t>
    <phoneticPr fontId="3" type="noConversion"/>
  </si>
  <si>
    <t>行业分类</t>
    <phoneticPr fontId="13" type="noConversion"/>
  </si>
  <si>
    <t>股票名</t>
  </si>
  <si>
    <t>股票代码</t>
  </si>
  <si>
    <t>收盘价</t>
  </si>
  <si>
    <t>当日成交量(万)</t>
  </si>
  <si>
    <t>1日涨幅</t>
  </si>
  <si>
    <t>市净率</t>
  </si>
  <si>
    <t>市盈率</t>
  </si>
  <si>
    <t>股息率</t>
  </si>
  <si>
    <t>当日成交额(亿)</t>
  </si>
  <si>
    <t>5年净资产收益率</t>
  </si>
  <si>
    <t>当日涨停标记</t>
  </si>
  <si>
    <t>总排名分</t>
  </si>
  <si>
    <t>持有状态</t>
  </si>
  <si>
    <t>房地产</t>
  </si>
  <si>
    <t>公用事业</t>
  </si>
  <si>
    <t>000543</t>
  </si>
  <si>
    <t>汽车</t>
  </si>
  <si>
    <t>000625</t>
  </si>
  <si>
    <t>中山公用</t>
  </si>
  <si>
    <t>000685</t>
  </si>
  <si>
    <t>非银金融</t>
  </si>
  <si>
    <t>东北证券</t>
  </si>
  <si>
    <t>000686</t>
  </si>
  <si>
    <t>纺织服装</t>
  </si>
  <si>
    <t>鲁 泰 Ａ</t>
  </si>
  <si>
    <t>广发证券</t>
  </si>
  <si>
    <t>000776</t>
  </si>
  <si>
    <t>农林牧渔</t>
  </si>
  <si>
    <t>000876</t>
  </si>
  <si>
    <t>000899</t>
  </si>
  <si>
    <t>长源电力</t>
  </si>
  <si>
    <t>000966</t>
  </si>
  <si>
    <t>银行</t>
  </si>
  <si>
    <t>002146</t>
  </si>
  <si>
    <t>交通运输</t>
  </si>
  <si>
    <t>600030</t>
  </si>
  <si>
    <t>家用电器</t>
  </si>
  <si>
    <t>海信电器</t>
  </si>
  <si>
    <t>600060</t>
  </si>
  <si>
    <t>建筑装饰</t>
  </si>
  <si>
    <t>葛 洲 坝</t>
  </si>
  <si>
    <t>600068</t>
  </si>
  <si>
    <t>600170</t>
  </si>
  <si>
    <t>雅 戈 尔</t>
  </si>
  <si>
    <t>北京城建</t>
  </si>
  <si>
    <t>600266</t>
  </si>
  <si>
    <t>600383</t>
  </si>
  <si>
    <t>福能股份</t>
  </si>
  <si>
    <t>600483</t>
  </si>
  <si>
    <t>深 高 速</t>
  </si>
  <si>
    <t>600548</t>
  </si>
  <si>
    <t>采掘</t>
  </si>
  <si>
    <t>600583</t>
  </si>
  <si>
    <t>建筑材料</t>
  </si>
  <si>
    <t>海螺水泥</t>
  </si>
  <si>
    <t>600585</t>
  </si>
  <si>
    <t>绿地控股</t>
  </si>
  <si>
    <t>600606</t>
  </si>
  <si>
    <t>信达地产</t>
  </si>
  <si>
    <t>600657</t>
  </si>
  <si>
    <t>600674</t>
  </si>
  <si>
    <t>600837</t>
  </si>
  <si>
    <t>机械设备</t>
  </si>
  <si>
    <t>600894</t>
  </si>
  <si>
    <t>中材国际</t>
  </si>
  <si>
    <t>600970</t>
  </si>
  <si>
    <t>唐 山 港</t>
  </si>
  <si>
    <t>601000</t>
  </si>
  <si>
    <t>四川成渝</t>
  </si>
  <si>
    <t>601107</t>
  </si>
  <si>
    <t>601211</t>
  </si>
  <si>
    <t>医药生物</t>
  </si>
  <si>
    <t>上海医药</t>
  </si>
  <si>
    <t>601607</t>
  </si>
  <si>
    <t>华泰证券</t>
  </si>
  <si>
    <t>601688</t>
  </si>
  <si>
    <t>601788</t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</si>
  <si>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402</t>
    </r>
    <phoneticPr fontId="3" type="noConversion"/>
  </si>
  <si>
    <t>金 融 街</t>
    <phoneticPr fontId="3" type="noConversion"/>
  </si>
  <si>
    <t>DATE</t>
  </si>
  <si>
    <t>ACC</t>
  </si>
  <si>
    <t>GJ40103125</t>
  </si>
  <si>
    <t>IB</t>
  </si>
  <si>
    <t>提取香港保险缴费 18100美元</t>
  </si>
  <si>
    <t>同事借款，为期一年</t>
  </si>
  <si>
    <t>薪资投入</t>
  </si>
  <si>
    <t>黄明武借款</t>
    <phoneticPr fontId="14" type="noConversion"/>
  </si>
  <si>
    <t>黄明武还款买入景顺长城</t>
    <phoneticPr fontId="15" type="noConversion"/>
  </si>
  <si>
    <t>股票卖出尾款买入景顺长城</t>
    <phoneticPr fontId="15" type="noConversion"/>
  </si>
  <si>
    <t>执行股权到账</t>
    <phoneticPr fontId="15" type="noConversion"/>
  </si>
  <si>
    <t>日期</t>
    <phoneticPr fontId="16" type="noConversion"/>
  </si>
  <si>
    <t>金额</t>
    <phoneticPr fontId="16" type="noConversion"/>
  </si>
  <si>
    <t>类别</t>
    <phoneticPr fontId="16" type="noConversion"/>
  </si>
  <si>
    <t>工资</t>
    <phoneticPr fontId="16" type="noConversion"/>
  </si>
  <si>
    <t>人才奖励</t>
    <phoneticPr fontId="16" type="noConversion"/>
  </si>
  <si>
    <t>工资+奖金</t>
    <phoneticPr fontId="16" type="noConversion"/>
  </si>
  <si>
    <t>股权执行</t>
    <phoneticPr fontId="3" type="noConversion"/>
  </si>
  <si>
    <t>特斯拉税前买入</t>
    <phoneticPr fontId="3" type="noConversion"/>
  </si>
  <si>
    <t>养老定投</t>
    <phoneticPr fontId="3" type="noConversion"/>
  </si>
  <si>
    <t>提取家用</t>
    <phoneticPr fontId="3" type="noConversion"/>
  </si>
  <si>
    <t>提取</t>
    <phoneticPr fontId="3" type="noConversion"/>
  </si>
  <si>
    <t>股权执行入金</t>
    <phoneticPr fontId="3" type="noConversion"/>
  </si>
  <si>
    <t>薪资奖金投入</t>
    <phoneticPr fontId="3" type="noConversion"/>
  </si>
  <si>
    <t>入金</t>
    <phoneticPr fontId="3" type="noConversion"/>
  </si>
  <si>
    <t>薪资入金</t>
    <phoneticPr fontId="3" type="noConversion"/>
  </si>
  <si>
    <t>同事取消借款，重新入金</t>
    <phoneticPr fontId="3" type="noConversion"/>
  </si>
  <si>
    <t>薪资入金</t>
    <phoneticPr fontId="3" type="noConversion"/>
  </si>
  <si>
    <t>薪资投入</t>
    <phoneticPr fontId="3" type="noConversion"/>
  </si>
  <si>
    <t>持有</t>
    <phoneticPr fontId="3" type="noConversion"/>
  </si>
  <si>
    <t>红利ETF</t>
    <phoneticPr fontId="3" type="noConversion"/>
  </si>
  <si>
    <t>夏远卓</t>
    <phoneticPr fontId="3" type="noConversion"/>
  </si>
  <si>
    <t>夏思齐</t>
    <phoneticPr fontId="3" type="noConversion"/>
  </si>
  <si>
    <t>日期</t>
    <phoneticPr fontId="3" type="noConversion"/>
  </si>
  <si>
    <t>代码</t>
    <phoneticPr fontId="3" type="noConversion"/>
  </si>
  <si>
    <t>名称</t>
    <phoneticPr fontId="3" type="noConversion"/>
  </si>
  <si>
    <t>净值</t>
    <phoneticPr fontId="3" type="noConversion"/>
  </si>
  <si>
    <t>份额</t>
    <phoneticPr fontId="3" type="noConversion"/>
  </si>
  <si>
    <t>金额</t>
    <phoneticPr fontId="3" type="noConversion"/>
  </si>
  <si>
    <t>手续费</t>
    <phoneticPr fontId="3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</si>
  <si>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311</t>
    </r>
    <phoneticPr fontId="3" type="noConversion"/>
  </si>
  <si>
    <r>
      <t>景顺长城沪深3</t>
    </r>
    <r>
      <rPr>
        <sz val="12"/>
        <rFont val="宋体"/>
        <family val="3"/>
        <charset val="134"/>
      </rPr>
      <t>00指数加强</t>
    </r>
    <phoneticPr fontId="3" type="noConversion"/>
  </si>
  <si>
    <t>工资</t>
    <phoneticPr fontId="3" type="noConversion"/>
  </si>
  <si>
    <t>工资投入</t>
    <phoneticPr fontId="3" type="noConversion"/>
  </si>
  <si>
    <r>
      <t>0</t>
    </r>
    <r>
      <rPr>
        <sz val="12"/>
        <rFont val="宋体"/>
        <family val="3"/>
        <charset val="134"/>
      </rPr>
      <t>00</t>
    </r>
    <r>
      <rPr>
        <sz val="12"/>
        <rFont val="宋体"/>
        <family val="3"/>
        <charset val="134"/>
      </rPr>
      <t>311</t>
    </r>
    <phoneticPr fontId="3" type="noConversion"/>
  </si>
  <si>
    <t>景顺长城沪深300指数加强</t>
    <phoneticPr fontId="3" type="noConversion"/>
  </si>
  <si>
    <r>
      <t>人才奖励(退税</t>
    </r>
    <r>
      <rPr>
        <sz val="12"/>
        <rFont val="宋体"/>
        <family val="3"/>
        <charset val="134"/>
      </rPr>
      <t>)</t>
    </r>
    <phoneticPr fontId="3" type="noConversion"/>
  </si>
  <si>
    <t>退税投入</t>
    <phoneticPr fontId="3" type="noConversion"/>
  </si>
  <si>
    <t>买车退款</t>
    <phoneticPr fontId="3" type="noConversion"/>
  </si>
  <si>
    <t>工资</t>
    <phoneticPr fontId="3" type="noConversion"/>
  </si>
  <si>
    <t>工资投入</t>
    <phoneticPr fontId="3" type="noConversion"/>
  </si>
  <si>
    <t>学费+旅行+春节开销</t>
    <phoneticPr fontId="3" type="noConversion"/>
  </si>
  <si>
    <t>工资投入</t>
    <phoneticPr fontId="3" type="noConversion"/>
  </si>
  <si>
    <t>股权执行</t>
    <phoneticPr fontId="3" type="noConversion"/>
  </si>
  <si>
    <t>股权收益投入</t>
    <phoneticPr fontId="3" type="noConversion"/>
  </si>
  <si>
    <t>股权尾款</t>
    <phoneticPr fontId="3" type="noConversion"/>
  </si>
  <si>
    <t>工资+半年奖金</t>
    <phoneticPr fontId="16" type="noConversion"/>
  </si>
  <si>
    <t>工资+半年奖</t>
    <phoneticPr fontId="3" type="noConversion"/>
  </si>
  <si>
    <t>工资投入</t>
    <phoneticPr fontId="3" type="noConversion"/>
  </si>
  <si>
    <t>买香港保险</t>
    <phoneticPr fontId="3" type="noConversion"/>
  </si>
  <si>
    <t>蛋卷基金</t>
    <phoneticPr fontId="3" type="noConversion"/>
  </si>
  <si>
    <t>工资投入</t>
    <phoneticPr fontId="3" type="noConversion"/>
  </si>
  <si>
    <t>养老定投5个月</t>
    <phoneticPr fontId="3" type="noConversion"/>
  </si>
  <si>
    <t>养老定投</t>
    <phoneticPr fontId="3" type="noConversion"/>
  </si>
  <si>
    <t>工资</t>
    <phoneticPr fontId="3" type="noConversion"/>
  </si>
  <si>
    <t>工资投入+定投</t>
    <phoneticPr fontId="3" type="noConversion"/>
  </si>
  <si>
    <t>定投</t>
    <phoneticPr fontId="3" type="noConversion"/>
  </si>
  <si>
    <t>工资+半年奖</t>
    <phoneticPr fontId="3" type="noConversion"/>
  </si>
  <si>
    <t>人才奖</t>
    <phoneticPr fontId="3" type="noConversion"/>
  </si>
  <si>
    <t>工资</t>
    <phoneticPr fontId="3" type="noConversion"/>
  </si>
  <si>
    <t>工资+奖金投入</t>
    <phoneticPr fontId="3" type="noConversion"/>
  </si>
  <si>
    <t>工资买入</t>
    <phoneticPr fontId="3" type="noConversion"/>
  </si>
  <si>
    <t>恒生指数</t>
    <phoneticPr fontId="3" type="noConversion"/>
  </si>
  <si>
    <t>公积金提取</t>
    <phoneticPr fontId="3" type="noConversion"/>
  </si>
  <si>
    <t>工资</t>
    <phoneticPr fontId="3" type="noConversion"/>
  </si>
  <si>
    <t>收入</t>
    <phoneticPr fontId="49" type="noConversion"/>
  </si>
  <si>
    <t>纳税</t>
    <phoneticPr fontId="49" type="noConversion"/>
  </si>
  <si>
    <t>税率</t>
    <phoneticPr fontId="49" type="noConversion"/>
  </si>
  <si>
    <t>所得</t>
    <phoneticPr fontId="49" type="noConversion"/>
  </si>
  <si>
    <t>人才奖励</t>
    <phoneticPr fontId="49" type="noConversion"/>
  </si>
  <si>
    <t>人才奖励</t>
    <phoneticPr fontId="49" type="noConversion"/>
  </si>
  <si>
    <t>工资+股权执行</t>
    <phoneticPr fontId="3" type="noConversion"/>
  </si>
  <si>
    <t>工资+半年奖</t>
    <phoneticPr fontId="3" type="noConversion"/>
  </si>
  <si>
    <t>旅游</t>
    <phoneticPr fontId="3" type="noConversion"/>
  </si>
  <si>
    <t>G193</t>
    <phoneticPr fontId="52" type="noConversion"/>
  </si>
  <si>
    <t>201905交易量</t>
    <phoneticPr fontId="52" type="noConversion"/>
  </si>
  <si>
    <t>201905分红</t>
    <phoneticPr fontId="52" type="noConversion"/>
  </si>
  <si>
    <t>G207</t>
    <phoneticPr fontId="52" type="noConversion"/>
  </si>
  <si>
    <t>G213</t>
    <phoneticPr fontId="52" type="noConversion"/>
  </si>
  <si>
    <t>G216</t>
    <phoneticPr fontId="52" type="noConversion"/>
  </si>
  <si>
    <t>G065</t>
    <phoneticPr fontId="52" type="noConversion"/>
  </si>
  <si>
    <t>G059</t>
    <phoneticPr fontId="52" type="noConversion"/>
  </si>
  <si>
    <t>G371</t>
    <phoneticPr fontId="52" type="noConversion"/>
  </si>
  <si>
    <t>G037</t>
    <phoneticPr fontId="52" type="noConversion"/>
  </si>
  <si>
    <t>G539</t>
    <phoneticPr fontId="52" type="noConversion"/>
  </si>
  <si>
    <t>P288</t>
    <phoneticPr fontId="52" type="noConversion"/>
  </si>
  <si>
    <t>G679</t>
    <phoneticPr fontId="52" type="noConversion"/>
  </si>
  <si>
    <t>G945</t>
    <phoneticPr fontId="52" type="noConversion"/>
  </si>
  <si>
    <t>G773</t>
    <phoneticPr fontId="52" type="noConversion"/>
  </si>
  <si>
    <t>G826</t>
    <phoneticPr fontId="52" type="noConversion"/>
  </si>
  <si>
    <t>G345</t>
    <phoneticPr fontId="52" type="noConversion"/>
  </si>
  <si>
    <t>G307</t>
    <phoneticPr fontId="52" type="noConversion"/>
  </si>
  <si>
    <t>P552</t>
    <phoneticPr fontId="52" type="noConversion"/>
  </si>
  <si>
    <t>G833</t>
    <phoneticPr fontId="52" type="noConversion"/>
  </si>
  <si>
    <t>G783</t>
    <phoneticPr fontId="52" type="noConversion"/>
  </si>
  <si>
    <t>G332</t>
    <phoneticPr fontId="52" type="noConversion"/>
  </si>
  <si>
    <t>G625</t>
    <phoneticPr fontId="52" type="noConversion"/>
  </si>
  <si>
    <t>G030</t>
    <phoneticPr fontId="52" type="noConversion"/>
  </si>
  <si>
    <t>G985</t>
    <phoneticPr fontId="52" type="noConversion"/>
  </si>
  <si>
    <t>G475</t>
    <phoneticPr fontId="52" type="noConversion"/>
  </si>
  <si>
    <t>G695</t>
    <phoneticPr fontId="52" type="noConversion"/>
  </si>
  <si>
    <t>G928</t>
    <phoneticPr fontId="52" type="noConversion"/>
  </si>
  <si>
    <t>G033</t>
    <phoneticPr fontId="52" type="noConversion"/>
  </si>
  <si>
    <t>G579</t>
    <phoneticPr fontId="52" type="noConversion"/>
  </si>
  <si>
    <t>G540</t>
    <phoneticPr fontId="52" type="noConversion"/>
  </si>
  <si>
    <t>G070</t>
    <phoneticPr fontId="52" type="noConversion"/>
  </si>
  <si>
    <t>P792</t>
    <phoneticPr fontId="52" type="noConversion"/>
  </si>
  <si>
    <t>G707</t>
    <phoneticPr fontId="52" type="noConversion"/>
  </si>
  <si>
    <t>G937</t>
    <phoneticPr fontId="52" type="noConversion"/>
  </si>
  <si>
    <t>G777</t>
    <phoneticPr fontId="52" type="noConversion"/>
  </si>
  <si>
    <t>G125</t>
    <phoneticPr fontId="52" type="noConversion"/>
  </si>
  <si>
    <t>P069</t>
    <phoneticPr fontId="52" type="noConversion"/>
  </si>
  <si>
    <t>GF</t>
    <phoneticPr fontId="52" type="noConversion"/>
  </si>
  <si>
    <t>IB</t>
    <phoneticPr fontId="52" type="noConversion"/>
  </si>
  <si>
    <t>固收类</t>
    <phoneticPr fontId="3" type="noConversion"/>
  </si>
  <si>
    <t>权益类</t>
    <phoneticPr fontId="3" type="noConversion"/>
  </si>
  <si>
    <t>美林时钟</t>
    <phoneticPr fontId="3" type="noConversion"/>
  </si>
  <si>
    <t>创业板</t>
    <phoneticPr fontId="3" type="noConversion"/>
  </si>
  <si>
    <t>沪深300</t>
    <phoneticPr fontId="3" type="noConversion"/>
  </si>
  <si>
    <t>纳指100</t>
    <phoneticPr fontId="3" type="noConversion"/>
  </si>
  <si>
    <t>日经225</t>
    <phoneticPr fontId="3" type="noConversion"/>
  </si>
  <si>
    <t>德国30</t>
    <phoneticPr fontId="3" type="noConversion"/>
  </si>
  <si>
    <t>WTI石油</t>
    <phoneticPr fontId="3" type="noConversion"/>
  </si>
  <si>
    <t>黄金XAU</t>
    <phoneticPr fontId="3" type="noConversion"/>
  </si>
  <si>
    <t>住宅</t>
    <phoneticPr fontId="3" type="noConversion"/>
  </si>
  <si>
    <t>周期</t>
    <phoneticPr fontId="3" type="noConversion"/>
  </si>
  <si>
    <t>企业债</t>
    <phoneticPr fontId="3" type="noConversion"/>
  </si>
  <si>
    <t>商品类</t>
    <phoneticPr fontId="3" type="noConversion"/>
  </si>
  <si>
    <t>sz162411</t>
    <phoneticPr fontId="3" type="noConversion"/>
  </si>
  <si>
    <t>sz163208</t>
    <phoneticPr fontId="3" type="noConversion"/>
  </si>
  <si>
    <t>代码</t>
    <phoneticPr fontId="3" type="noConversion"/>
  </si>
  <si>
    <t>sh601318</t>
    <phoneticPr fontId="3" type="noConversion"/>
  </si>
  <si>
    <t>sz000001</t>
    <phoneticPr fontId="3" type="noConversion"/>
  </si>
  <si>
    <t>单价</t>
    <phoneticPr fontId="3" type="noConversion"/>
  </si>
  <si>
    <t>sz150022</t>
    <phoneticPr fontId="3" type="noConversion"/>
  </si>
  <si>
    <t>hk01918</t>
    <phoneticPr fontId="3" type="noConversion"/>
  </si>
  <si>
    <t>hk00700</t>
    <phoneticPr fontId="3" type="noConversion"/>
  </si>
  <si>
    <t>sh600519</t>
    <phoneticPr fontId="3" type="noConversion"/>
  </si>
  <si>
    <t>#接口调用sinahq，支持港股A股股票价格，股票名称获取。</t>
    <phoneticPr fontId="3" type="noConversion"/>
  </si>
  <si>
    <t>#没有做定时更新，关掉文档再打开就会更新了，觉得不满足要求的，可以自己写</t>
    <phoneticPr fontId="3" type="noConversion"/>
  </si>
  <si>
    <t>#代码非原创，我不记得原始文档是从哪个github拉过来的，后来我自己增加了对港股的支持，对股票名称的支持，以及修正了一些bug。</t>
    <phoneticPr fontId="3" type="noConversion"/>
  </si>
  <si>
    <t>#有问题上雪球找 蜗牛队长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</si>
</sst>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 "/>
    <numFmt numFmtId="177" formatCode="yyyy&quot;年&quot;m&quot;月&quot;;@"/>
    <numFmt numFmtId="178" formatCode="0.000_ "/>
    <numFmt numFmtId="179" formatCode="0_);[Red]\(0\)"/>
    <numFmt numFmtId="181" formatCode="0.00_);[Red]\(0.00\)"/>
    <numFmt numFmtId="182" formatCode="0.00_ "/>
  </numFmts>
  <fonts count="58" x14ac:knownFonts="1">
    <font>
      <sz val="12"/>
      <name val="宋体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9"/>
      <color rgb="FF333333"/>
      <name val="Arial"/>
      <family val="2"/>
    </font>
    <font>
      <u/>
      <sz val="10"/>
      <color theme="10"/>
      <name val="Arial"/>
      <family val="2"/>
    </font>
    <font>
      <sz val="10"/>
      <color rgb="FF3D3D3D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rgb="FF008000"/>
      <name val="Arial"/>
      <family val="2"/>
    </font>
    <font>
      <b/>
      <sz val="10"/>
      <color rgb="FFFF0000"/>
      <name val="宋体"/>
      <family val="3"/>
      <charset val="134"/>
    </font>
    <font>
      <b/>
      <sz val="11"/>
      <color rgb="FF000000"/>
      <name val="宋体"/>
      <family val="3"/>
      <charset val="134"/>
    </font>
    <font>
      <b/>
      <sz val="11"/>
      <color rgb="FF000000"/>
      <name val="Calibri"/>
      <family val="2"/>
    </font>
    <font>
      <sz val="10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b/>
      <sz val="14"/>
      <color theme="5" tint="-0.249977111117893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  <font>
      <sz val="7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2FF"/>
        <bgColor indexed="64"/>
      </patternFill>
    </fill>
    <fill>
      <patternFill patternType="solid">
        <fgColor rgb="FFFBEC8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rgb="FFDDDCD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D5D5D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338">
    <xf numFmtId="0" fontId="0" fillId="0" borderId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7" fillId="0" borderId="0" applyNumberFormat="0" applyFill="0" applyBorder="0" applyAlignment="0" applyProtection="0">
      <alignment vertical="top"/>
      <protection locked="0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0" fillId="27" borderId="10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1" fillId="28" borderId="1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6" fillId="27" borderId="13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7" fillId="36" borderId="10" applyNumberForma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  <xf numFmtId="0" fontId="38" fillId="37" borderId="14" applyNumberFormat="0" applyFont="0" applyAlignment="0" applyProtection="0">
      <alignment vertical="center"/>
    </xf>
  </cellStyleXfs>
  <cellXfs count="167">
    <xf numFmtId="0" fontId="0" fillId="0" borderId="0" xfId="0">
      <alignment vertical="center"/>
    </xf>
    <xf numFmtId="0" fontId="0" fillId="0" borderId="0" xfId="0" applyFon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7" fontId="29" fillId="24" borderId="1" xfId="0" applyNumberFormat="1" applyFont="1" applyFill="1" applyBorder="1" applyAlignment="1">
      <alignment horizontal="center" vertical="center"/>
    </xf>
    <xf numFmtId="0" fontId="29" fillId="2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2" fillId="0" borderId="2" xfId="0" applyNumberFormat="1" applyFont="1" applyBorder="1">
      <alignment vertical="center"/>
    </xf>
    <xf numFmtId="10" fontId="0" fillId="38" borderId="2" xfId="0" applyNumberFormat="1" applyFill="1" applyBorder="1">
      <alignment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10" fontId="0" fillId="0" borderId="0" xfId="0" applyNumberFormat="1">
      <alignment vertical="center"/>
    </xf>
    <xf numFmtId="0" fontId="2" fillId="12" borderId="1" xfId="0" applyFont="1" applyFill="1" applyBorder="1">
      <alignment vertical="center"/>
    </xf>
    <xf numFmtId="179" fontId="2" fillId="12" borderId="1" xfId="0" applyNumberFormat="1" applyFont="1" applyFill="1" applyBorder="1">
      <alignment vertical="center"/>
    </xf>
    <xf numFmtId="178" fontId="2" fillId="12" borderId="1" xfId="0" applyNumberFormat="1" applyFont="1" applyFill="1" applyBorder="1">
      <alignment vertical="center"/>
    </xf>
    <xf numFmtId="14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 applyAlignment="1">
      <alignment horizontal="right" vertical="center"/>
    </xf>
    <xf numFmtId="178" fontId="0" fillId="0" borderId="1" xfId="0" applyNumberFormat="1" applyBorder="1">
      <alignment vertical="center"/>
    </xf>
    <xf numFmtId="10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0" fontId="2" fillId="13" borderId="2" xfId="0" applyFont="1" applyFill="1" applyBorder="1">
      <alignment vertical="center"/>
    </xf>
    <xf numFmtId="3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3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2" fillId="13" borderId="1" xfId="0" applyFont="1" applyFill="1" applyBorder="1">
      <alignment vertical="center"/>
    </xf>
    <xf numFmtId="10" fontId="0" fillId="0" borderId="0" xfId="0" applyNumberFormat="1" applyFont="1">
      <alignment vertical="center"/>
    </xf>
    <xf numFmtId="10" fontId="0" fillId="0" borderId="0" xfId="0" applyNumberFormat="1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5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6" borderId="1" xfId="0" applyFill="1" applyBorder="1">
      <alignment vertical="center"/>
    </xf>
    <xf numFmtId="0" fontId="39" fillId="38" borderId="15" xfId="0" applyFont="1" applyFill="1" applyBorder="1" applyAlignment="1">
      <alignment vertical="top"/>
    </xf>
    <xf numFmtId="0" fontId="27" fillId="38" borderId="15" xfId="201" applyFill="1" applyBorder="1" applyAlignment="1" applyProtection="1">
      <alignment vertical="top"/>
    </xf>
    <xf numFmtId="0" fontId="39" fillId="38" borderId="15" xfId="0" applyFont="1" applyFill="1" applyBorder="1" applyAlignment="1">
      <alignment horizontal="right" vertical="top"/>
    </xf>
    <xf numFmtId="4" fontId="39" fillId="38" borderId="15" xfId="0" applyNumberFormat="1" applyFont="1" applyFill="1" applyBorder="1" applyAlignment="1">
      <alignment horizontal="right" vertical="top"/>
    </xf>
    <xf numFmtId="0" fontId="39" fillId="38" borderId="0" xfId="0" applyFont="1" applyFill="1" applyBorder="1" applyAlignment="1">
      <alignment horizontal="right" vertical="top"/>
    </xf>
    <xf numFmtId="0" fontId="5" fillId="0" borderId="0" xfId="0" applyFont="1" applyAlignment="1">
      <alignment horizontal="centerContinuous" wrapText="1"/>
    </xf>
    <xf numFmtId="0" fontId="0" fillId="0" borderId="0" xfId="0" applyAlignment="1"/>
    <xf numFmtId="0" fontId="5" fillId="0" borderId="0" xfId="0" applyFont="1" applyAlignment="1">
      <alignment horizontal="right"/>
    </xf>
    <xf numFmtId="0" fontId="40" fillId="39" borderId="16" xfId="201" applyFont="1" applyFill="1" applyBorder="1" applyAlignment="1" applyProtection="1">
      <alignment vertical="top" wrapText="1"/>
    </xf>
    <xf numFmtId="0" fontId="41" fillId="39" borderId="16" xfId="0" applyFont="1" applyFill="1" applyBorder="1" applyAlignment="1">
      <alignment vertical="top" wrapText="1"/>
    </xf>
    <xf numFmtId="10" fontId="42" fillId="39" borderId="16" xfId="0" applyNumberFormat="1" applyFont="1" applyFill="1" applyBorder="1" applyAlignment="1">
      <alignment vertical="top" wrapText="1"/>
    </xf>
    <xf numFmtId="10" fontId="41" fillId="39" borderId="16" xfId="0" applyNumberFormat="1" applyFont="1" applyFill="1" applyBorder="1" applyAlignment="1">
      <alignment vertical="top" wrapText="1"/>
    </xf>
    <xf numFmtId="0" fontId="41" fillId="39" borderId="16" xfId="0" applyFont="1" applyFill="1" applyBorder="1" applyAlignment="1">
      <alignment horizontal="center" vertical="top" wrapText="1"/>
    </xf>
    <xf numFmtId="10" fontId="43" fillId="39" borderId="16" xfId="0" applyNumberFormat="1" applyFont="1" applyFill="1" applyBorder="1" applyAlignment="1">
      <alignment vertical="top" wrapText="1"/>
    </xf>
    <xf numFmtId="10" fontId="44" fillId="39" borderId="16" xfId="0" applyNumberFormat="1" applyFont="1" applyFill="1" applyBorder="1" applyAlignment="1">
      <alignment vertical="top" wrapText="1"/>
    </xf>
    <xf numFmtId="0" fontId="1" fillId="0" borderId="0" xfId="0" applyFont="1" applyAlignment="1">
      <alignment horizontal="right"/>
    </xf>
    <xf numFmtId="0" fontId="41" fillId="40" borderId="16" xfId="0" applyFont="1" applyFill="1" applyBorder="1" applyAlignment="1">
      <alignment horizontal="center" vertical="top" wrapText="1"/>
    </xf>
    <xf numFmtId="0" fontId="40" fillId="40" borderId="16" xfId="201" applyFont="1" applyFill="1" applyBorder="1" applyAlignment="1" applyProtection="1">
      <alignment vertical="top" wrapText="1"/>
    </xf>
    <xf numFmtId="0" fontId="41" fillId="40" borderId="16" xfId="0" applyFont="1" applyFill="1" applyBorder="1" applyAlignment="1">
      <alignment vertical="top" wrapText="1"/>
    </xf>
    <xf numFmtId="10" fontId="44" fillId="40" borderId="16" xfId="0" applyNumberFormat="1" applyFont="1" applyFill="1" applyBorder="1" applyAlignment="1">
      <alignment vertical="top" wrapText="1"/>
    </xf>
    <xf numFmtId="10" fontId="41" fillId="40" borderId="16" xfId="0" applyNumberFormat="1" applyFont="1" applyFill="1" applyBorder="1" applyAlignment="1">
      <alignment vertical="top" wrapText="1"/>
    </xf>
    <xf numFmtId="0" fontId="41" fillId="41" borderId="16" xfId="0" applyFont="1" applyFill="1" applyBorder="1" applyAlignment="1">
      <alignment horizontal="center" vertical="top" wrapText="1"/>
    </xf>
    <xf numFmtId="0" fontId="40" fillId="41" borderId="16" xfId="201" applyFont="1" applyFill="1" applyBorder="1" applyAlignment="1" applyProtection="1">
      <alignment vertical="top" wrapText="1"/>
    </xf>
    <xf numFmtId="0" fontId="41" fillId="41" borderId="16" xfId="0" applyFont="1" applyFill="1" applyBorder="1" applyAlignment="1">
      <alignment vertical="top" wrapText="1"/>
    </xf>
    <xf numFmtId="10" fontId="44" fillId="41" borderId="16" xfId="0" applyNumberFormat="1" applyFont="1" applyFill="1" applyBorder="1" applyAlignment="1">
      <alignment vertical="top" wrapText="1"/>
    </xf>
    <xf numFmtId="10" fontId="41" fillId="41" borderId="16" xfId="0" applyNumberFormat="1" applyFont="1" applyFill="1" applyBorder="1" applyAlignment="1">
      <alignment vertical="top" wrapText="1"/>
    </xf>
    <xf numFmtId="0" fontId="40" fillId="39" borderId="17" xfId="201" applyFont="1" applyFill="1" applyBorder="1" applyAlignment="1" applyProtection="1">
      <alignment horizontal="left" wrapText="1"/>
    </xf>
    <xf numFmtId="0" fontId="43" fillId="39" borderId="17" xfId="0" applyFont="1" applyFill="1" applyBorder="1" applyAlignment="1">
      <alignment horizontal="center" wrapText="1"/>
    </xf>
    <xf numFmtId="0" fontId="43" fillId="39" borderId="17" xfId="0" applyFont="1" applyFill="1" applyBorder="1" applyAlignment="1">
      <alignment horizontal="right" wrapText="1"/>
    </xf>
    <xf numFmtId="0" fontId="4" fillId="0" borderId="0" xfId="0" applyFont="1" applyAlignment="1"/>
    <xf numFmtId="179" fontId="0" fillId="0" borderId="3" xfId="0" applyNumberFormat="1" applyBorder="1">
      <alignment vertical="center"/>
    </xf>
    <xf numFmtId="0" fontId="29" fillId="24" borderId="0" xfId="0" applyFont="1" applyFill="1" applyBorder="1" applyAlignment="1">
      <alignment horizontal="center" vertical="center"/>
    </xf>
    <xf numFmtId="0" fontId="0" fillId="42" borderId="0" xfId="0" applyFill="1">
      <alignment vertical="center"/>
    </xf>
    <xf numFmtId="0" fontId="6" fillId="0" borderId="0" xfId="0" applyFont="1">
      <alignment vertical="center"/>
    </xf>
    <xf numFmtId="0" fontId="7" fillId="13" borderId="4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  <xf numFmtId="0" fontId="4" fillId="0" borderId="0" xfId="0" applyFont="1">
      <alignment vertical="center"/>
    </xf>
    <xf numFmtId="0" fontId="0" fillId="0" borderId="5" xfId="0" applyFill="1" applyBorder="1">
      <alignment vertical="center"/>
    </xf>
    <xf numFmtId="0" fontId="10" fillId="13" borderId="4" xfId="0" applyFont="1" applyFill="1" applyBorder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177" fontId="45" fillId="0" borderId="1" xfId="0" applyNumberFormat="1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 vertical="top"/>
    </xf>
    <xf numFmtId="0" fontId="47" fillId="0" borderId="1" xfId="0" applyFont="1" applyBorder="1" applyAlignment="1">
      <alignment horizontal="center" vertical="top"/>
    </xf>
    <xf numFmtId="49" fontId="12" fillId="0" borderId="0" xfId="0" applyNumberFormat="1" applyFont="1" applyAlignment="1"/>
    <xf numFmtId="0" fontId="12" fillId="0" borderId="0" xfId="0" applyFont="1" applyAlignment="1"/>
    <xf numFmtId="14" fontId="0" fillId="0" borderId="0" xfId="0" applyNumberFormat="1" applyAlignment="1"/>
    <xf numFmtId="0" fontId="29" fillId="44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/>
    </xf>
    <xf numFmtId="49" fontId="29" fillId="24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45" fillId="0" borderId="1" xfId="0" applyNumberFormat="1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177" fontId="45" fillId="0" borderId="2" xfId="0" applyNumberFormat="1" applyFont="1" applyBorder="1" applyAlignment="1">
      <alignment horizontal="center" vertical="center"/>
    </xf>
    <xf numFmtId="49" fontId="45" fillId="0" borderId="2" xfId="0" applyNumberFormat="1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45" fillId="0" borderId="2" xfId="0" applyFont="1" applyFill="1" applyBorder="1" applyAlignment="1">
      <alignment horizontal="center" vertical="center"/>
    </xf>
    <xf numFmtId="177" fontId="48" fillId="11" borderId="1" xfId="0" applyNumberFormat="1" applyFont="1" applyFill="1" applyBorder="1" applyAlignment="1">
      <alignment horizontal="center" vertical="center"/>
    </xf>
    <xf numFmtId="49" fontId="48" fillId="11" borderId="1" xfId="0" applyNumberFormat="1" applyFon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center" vertical="center"/>
    </xf>
    <xf numFmtId="57" fontId="0" fillId="0" borderId="1" xfId="0" applyNumberFormat="1" applyBorder="1">
      <alignment vertical="center"/>
    </xf>
    <xf numFmtId="0" fontId="0" fillId="0" borderId="1" xfId="0" applyFont="1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0" xfId="0" applyFont="1" applyAlignment="1"/>
    <xf numFmtId="0" fontId="4" fillId="0" borderId="1" xfId="0" applyFont="1" applyBorder="1" applyAlignment="1">
      <alignment horizontal="left" vertical="center"/>
    </xf>
    <xf numFmtId="0" fontId="19" fillId="0" borderId="0" xfId="0" applyFont="1" applyAlignment="1"/>
    <xf numFmtId="0" fontId="0" fillId="0" borderId="1" xfId="0" applyFill="1" applyBorder="1" applyAlignment="1">
      <alignment horizontal="left" vertical="center"/>
    </xf>
    <xf numFmtId="14" fontId="0" fillId="43" borderId="1" xfId="0" applyNumberFormat="1" applyFill="1" applyBorder="1" applyAlignment="1">
      <alignment horizontal="left" vertical="center"/>
    </xf>
    <xf numFmtId="14" fontId="0" fillId="38" borderId="1" xfId="0" applyNumberFormat="1" applyFill="1" applyBorder="1" applyAlignment="1">
      <alignment horizontal="left" vertical="center"/>
    </xf>
    <xf numFmtId="14" fontId="0" fillId="45" borderId="1" xfId="0" applyNumberFormat="1" applyFill="1" applyBorder="1" applyAlignment="1">
      <alignment horizontal="left" vertical="center"/>
    </xf>
    <xf numFmtId="176" fontId="0" fillId="0" borderId="0" xfId="0" applyNumberFormat="1" applyAlignment="1">
      <alignment horizontal="right" vertical="center"/>
    </xf>
    <xf numFmtId="182" fontId="0" fillId="0" borderId="0" xfId="0" applyNumberFormat="1" applyAlignment="1"/>
    <xf numFmtId="17" fontId="0" fillId="0" borderId="0" xfId="0" applyNumberFormat="1" applyAlignment="1"/>
    <xf numFmtId="10" fontId="0" fillId="0" borderId="0" xfId="0" applyNumberFormat="1" applyAlignment="1"/>
    <xf numFmtId="0" fontId="4" fillId="0" borderId="1" xfId="0" applyFont="1" applyFill="1" applyBorder="1" applyAlignment="1">
      <alignment horizontal="left" vertical="center"/>
    </xf>
    <xf numFmtId="0" fontId="2" fillId="43" borderId="1" xfId="0" applyFont="1" applyFill="1" applyBorder="1">
      <alignment vertical="center"/>
    </xf>
    <xf numFmtId="0" fontId="2" fillId="43" borderId="4" xfId="0" applyFont="1" applyFill="1" applyBorder="1">
      <alignment vertical="center"/>
    </xf>
    <xf numFmtId="0" fontId="0" fillId="0" borderId="4" xfId="0" applyFill="1" applyBorder="1">
      <alignment vertical="center"/>
    </xf>
    <xf numFmtId="4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53" fillId="0" borderId="0" xfId="0" applyFont="1">
      <alignment vertical="center"/>
    </xf>
    <xf numFmtId="10" fontId="53" fillId="0" borderId="0" xfId="0" applyNumberFormat="1" applyFont="1">
      <alignment vertical="center"/>
    </xf>
    <xf numFmtId="0" fontId="53" fillId="43" borderId="1" xfId="0" applyFont="1" applyFill="1" applyBorder="1" applyAlignment="1">
      <alignment horizontal="center" vertical="center"/>
    </xf>
    <xf numFmtId="10" fontId="53" fillId="0" borderId="21" xfId="0" applyNumberFormat="1" applyFont="1" applyBorder="1">
      <alignment vertical="center"/>
    </xf>
    <xf numFmtId="10" fontId="53" fillId="0" borderId="22" xfId="0" applyNumberFormat="1" applyFont="1" applyBorder="1">
      <alignment vertical="center"/>
    </xf>
    <xf numFmtId="10" fontId="53" fillId="0" borderId="5" xfId="0" applyNumberFormat="1" applyFont="1" applyBorder="1">
      <alignment vertical="center"/>
    </xf>
    <xf numFmtId="10" fontId="53" fillId="0" borderId="0" xfId="0" applyNumberFormat="1" applyFont="1" applyBorder="1">
      <alignment vertical="center"/>
    </xf>
    <xf numFmtId="10" fontId="53" fillId="8" borderId="24" xfId="0" applyNumberFormat="1" applyFont="1" applyFill="1" applyBorder="1">
      <alignment vertical="center"/>
    </xf>
    <xf numFmtId="0" fontId="54" fillId="43" borderId="18" xfId="0" applyFont="1" applyFill="1" applyBorder="1" applyAlignment="1">
      <alignment horizontal="center" vertical="center"/>
    </xf>
    <xf numFmtId="10" fontId="53" fillId="46" borderId="0" xfId="0" applyNumberFormat="1" applyFont="1" applyFill="1">
      <alignment vertical="center"/>
    </xf>
    <xf numFmtId="10" fontId="53" fillId="46" borderId="0" xfId="0" applyNumberFormat="1" applyFont="1" applyFill="1" applyBorder="1">
      <alignment vertical="center"/>
    </xf>
    <xf numFmtId="10" fontId="53" fillId="46" borderId="5" xfId="0" applyNumberFormat="1" applyFont="1" applyFill="1" applyBorder="1">
      <alignment vertical="center"/>
    </xf>
    <xf numFmtId="10" fontId="53" fillId="47" borderId="22" xfId="0" applyNumberFormat="1" applyFont="1" applyFill="1" applyBorder="1">
      <alignment vertical="center"/>
    </xf>
    <xf numFmtId="10" fontId="53" fillId="47" borderId="0" xfId="0" applyNumberFormat="1" applyFont="1" applyFill="1" applyBorder="1">
      <alignment vertical="center"/>
    </xf>
    <xf numFmtId="10" fontId="53" fillId="47" borderId="5" xfId="0" applyNumberFormat="1" applyFont="1" applyFill="1" applyBorder="1">
      <alignment vertical="center"/>
    </xf>
    <xf numFmtId="10" fontId="53" fillId="47" borderId="23" xfId="0" applyNumberFormat="1" applyFont="1" applyFill="1" applyBorder="1">
      <alignment vertical="center"/>
    </xf>
    <xf numFmtId="179" fontId="53" fillId="0" borderId="0" xfId="0" applyNumberFormat="1" applyFont="1">
      <alignment vertical="center"/>
    </xf>
    <xf numFmtId="0" fontId="55" fillId="29" borderId="2" xfId="0" applyFont="1" applyFill="1" applyBorder="1">
      <alignment vertical="center"/>
    </xf>
    <xf numFmtId="0" fontId="53" fillId="8" borderId="1" xfId="0" applyFont="1" applyFill="1" applyBorder="1">
      <alignment vertical="center"/>
    </xf>
    <xf numFmtId="0" fontId="53" fillId="15" borderId="1" xfId="0" applyFont="1" applyFill="1" applyBorder="1">
      <alignment vertical="center"/>
    </xf>
    <xf numFmtId="0" fontId="53" fillId="18" borderId="1" xfId="0" applyFont="1" applyFill="1" applyBorder="1">
      <alignment vertical="center"/>
    </xf>
    <xf numFmtId="176" fontId="53" fillId="0" borderId="0" xfId="0" applyNumberFormat="1" applyFont="1">
      <alignment vertical="center"/>
    </xf>
    <xf numFmtId="0" fontId="56" fillId="0" borderId="0" xfId="0" applyFont="1">
      <alignment vertical="center"/>
    </xf>
    <xf numFmtId="0" fontId="57" fillId="0" borderId="0" xfId="0" applyFont="1">
      <alignment vertical="center"/>
    </xf>
    <xf numFmtId="0" fontId="53" fillId="43" borderId="2" xfId="0" applyFont="1" applyFill="1" applyBorder="1" applyAlignment="1">
      <alignment horizontal="center" vertical="center"/>
    </xf>
    <xf numFmtId="0" fontId="53" fillId="43" borderId="3" xfId="0" applyFont="1" applyFill="1" applyBorder="1" applyAlignment="1">
      <alignment horizontal="center" vertical="center"/>
    </xf>
    <xf numFmtId="0" fontId="54" fillId="43" borderId="19" xfId="0" applyFont="1" applyFill="1" applyBorder="1" applyAlignment="1">
      <alignment horizontal="center" vertical="center"/>
    </xf>
    <xf numFmtId="0" fontId="54" fillId="43" borderId="20" xfId="0" applyFont="1" applyFill="1" applyBorder="1" applyAlignment="1">
      <alignment horizontal="center" vertical="center"/>
    </xf>
    <xf numFmtId="0" fontId="54" fillId="43" borderId="18" xfId="0" applyFont="1" applyFill="1" applyBorder="1" applyAlignment="1">
      <alignment horizontal="center" vertical="center"/>
    </xf>
  </cellXfs>
  <cellStyles count="338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超链接" xfId="201" builtinId="8"/>
    <cellStyle name="好 2" xfId="202" xr:uid="{00000000-0005-0000-0000-0000CA000000}"/>
    <cellStyle name="好 3" xfId="203" xr:uid="{00000000-0005-0000-0000-0000CB000000}"/>
    <cellStyle name="好 4" xfId="204" xr:uid="{00000000-0005-0000-0000-0000CC000000}"/>
    <cellStyle name="好 5" xfId="205" xr:uid="{00000000-0005-0000-0000-0000CD000000}"/>
    <cellStyle name="好 6" xfId="206" xr:uid="{00000000-0005-0000-0000-0000CE000000}"/>
    <cellStyle name="好 7" xfId="207" xr:uid="{00000000-0005-0000-0000-0000CF000000}"/>
    <cellStyle name="好 8" xfId="208" xr:uid="{00000000-0005-0000-0000-0000D0000000}"/>
    <cellStyle name="好 9" xfId="209" xr:uid="{00000000-0005-0000-0000-0000D1000000}"/>
    <cellStyle name="汇总 2" xfId="210" xr:uid="{00000000-0005-0000-0000-0000D2000000}"/>
    <cellStyle name="汇总 3" xfId="211" xr:uid="{00000000-0005-0000-0000-0000D3000000}"/>
    <cellStyle name="汇总 4" xfId="212" xr:uid="{00000000-0005-0000-0000-0000D4000000}"/>
    <cellStyle name="汇总 5" xfId="213" xr:uid="{00000000-0005-0000-0000-0000D5000000}"/>
    <cellStyle name="汇总 6" xfId="214" xr:uid="{00000000-0005-0000-0000-0000D6000000}"/>
    <cellStyle name="汇总 7" xfId="215" xr:uid="{00000000-0005-0000-0000-0000D7000000}"/>
    <cellStyle name="汇总 8" xfId="216" xr:uid="{00000000-0005-0000-0000-0000D8000000}"/>
    <cellStyle name="汇总 9" xfId="217" xr:uid="{00000000-0005-0000-0000-0000D9000000}"/>
    <cellStyle name="计算 2" xfId="218" xr:uid="{00000000-0005-0000-0000-0000DA000000}"/>
    <cellStyle name="计算 3" xfId="219" xr:uid="{00000000-0005-0000-0000-0000DB000000}"/>
    <cellStyle name="计算 4" xfId="220" xr:uid="{00000000-0005-0000-0000-0000DC000000}"/>
    <cellStyle name="计算 5" xfId="221" xr:uid="{00000000-0005-0000-0000-0000DD000000}"/>
    <cellStyle name="计算 6" xfId="222" xr:uid="{00000000-0005-0000-0000-0000DE000000}"/>
    <cellStyle name="计算 7" xfId="223" xr:uid="{00000000-0005-0000-0000-0000DF000000}"/>
    <cellStyle name="计算 8" xfId="224" xr:uid="{00000000-0005-0000-0000-0000E0000000}"/>
    <cellStyle name="计算 9" xfId="225" xr:uid="{00000000-0005-0000-0000-0000E1000000}"/>
    <cellStyle name="检查单元格 2" xfId="226" xr:uid="{00000000-0005-0000-0000-0000E2000000}"/>
    <cellStyle name="检查单元格 3" xfId="227" xr:uid="{00000000-0005-0000-0000-0000E3000000}"/>
    <cellStyle name="检查单元格 4" xfId="228" xr:uid="{00000000-0005-0000-0000-0000E4000000}"/>
    <cellStyle name="检查单元格 5" xfId="229" xr:uid="{00000000-0005-0000-0000-0000E5000000}"/>
    <cellStyle name="检查单元格 6" xfId="230" xr:uid="{00000000-0005-0000-0000-0000E6000000}"/>
    <cellStyle name="检查单元格 7" xfId="231" xr:uid="{00000000-0005-0000-0000-0000E7000000}"/>
    <cellStyle name="检查单元格 8" xfId="232" xr:uid="{00000000-0005-0000-0000-0000E8000000}"/>
    <cellStyle name="检查单元格 9" xfId="233" xr:uid="{00000000-0005-0000-0000-0000E9000000}"/>
    <cellStyle name="解释性文本 2" xfId="234" xr:uid="{00000000-0005-0000-0000-0000EA000000}"/>
    <cellStyle name="解释性文本 3" xfId="235" xr:uid="{00000000-0005-0000-0000-0000EB000000}"/>
    <cellStyle name="解释性文本 4" xfId="236" xr:uid="{00000000-0005-0000-0000-0000EC000000}"/>
    <cellStyle name="解释性文本 5" xfId="237" xr:uid="{00000000-0005-0000-0000-0000ED000000}"/>
    <cellStyle name="解释性文本 6" xfId="238" xr:uid="{00000000-0005-0000-0000-0000EE000000}"/>
    <cellStyle name="解释性文本 7" xfId="239" xr:uid="{00000000-0005-0000-0000-0000EF000000}"/>
    <cellStyle name="解释性文本 8" xfId="240" xr:uid="{00000000-0005-0000-0000-0000F0000000}"/>
    <cellStyle name="解释性文本 9" xfId="241" xr:uid="{00000000-0005-0000-0000-0000F1000000}"/>
    <cellStyle name="警告文本 2" xfId="242" xr:uid="{00000000-0005-0000-0000-0000F2000000}"/>
    <cellStyle name="警告文本 3" xfId="243" xr:uid="{00000000-0005-0000-0000-0000F3000000}"/>
    <cellStyle name="警告文本 4" xfId="244" xr:uid="{00000000-0005-0000-0000-0000F4000000}"/>
    <cellStyle name="警告文本 5" xfId="245" xr:uid="{00000000-0005-0000-0000-0000F5000000}"/>
    <cellStyle name="警告文本 6" xfId="246" xr:uid="{00000000-0005-0000-0000-0000F6000000}"/>
    <cellStyle name="警告文本 7" xfId="247" xr:uid="{00000000-0005-0000-0000-0000F7000000}"/>
    <cellStyle name="警告文本 8" xfId="248" xr:uid="{00000000-0005-0000-0000-0000F8000000}"/>
    <cellStyle name="警告文本 9" xfId="249" xr:uid="{00000000-0005-0000-0000-0000F9000000}"/>
    <cellStyle name="链接单元格 2" xfId="250" xr:uid="{00000000-0005-0000-0000-0000FA000000}"/>
    <cellStyle name="链接单元格 3" xfId="251" xr:uid="{00000000-0005-0000-0000-0000FB000000}"/>
    <cellStyle name="链接单元格 4" xfId="252" xr:uid="{00000000-0005-0000-0000-0000FC000000}"/>
    <cellStyle name="链接单元格 5" xfId="253" xr:uid="{00000000-0005-0000-0000-0000FD000000}"/>
    <cellStyle name="链接单元格 6" xfId="254" xr:uid="{00000000-0005-0000-0000-0000FE000000}"/>
    <cellStyle name="链接单元格 7" xfId="255" xr:uid="{00000000-0005-0000-0000-0000FF000000}"/>
    <cellStyle name="链接单元格 8" xfId="256" xr:uid="{00000000-0005-0000-0000-000000010000}"/>
    <cellStyle name="链接单元格 9" xfId="257" xr:uid="{00000000-0005-0000-0000-000001010000}"/>
    <cellStyle name="强调文字颜色 1 2" xfId="258" xr:uid="{00000000-0005-0000-0000-000002010000}"/>
    <cellStyle name="强调文字颜色 1 3" xfId="259" xr:uid="{00000000-0005-0000-0000-000003010000}"/>
    <cellStyle name="强调文字颜色 1 4" xfId="260" xr:uid="{00000000-0005-0000-0000-000004010000}"/>
    <cellStyle name="强调文字颜色 1 5" xfId="261" xr:uid="{00000000-0005-0000-0000-000005010000}"/>
    <cellStyle name="强调文字颜色 1 6" xfId="262" xr:uid="{00000000-0005-0000-0000-000006010000}"/>
    <cellStyle name="强调文字颜色 1 7" xfId="263" xr:uid="{00000000-0005-0000-0000-000007010000}"/>
    <cellStyle name="强调文字颜色 1 8" xfId="264" xr:uid="{00000000-0005-0000-0000-000008010000}"/>
    <cellStyle name="强调文字颜色 1 9" xfId="265" xr:uid="{00000000-0005-0000-0000-000009010000}"/>
    <cellStyle name="强调文字颜色 2 2" xfId="266" xr:uid="{00000000-0005-0000-0000-00000A010000}"/>
    <cellStyle name="强调文字颜色 2 3" xfId="267" xr:uid="{00000000-0005-0000-0000-00000B010000}"/>
    <cellStyle name="强调文字颜色 2 4" xfId="268" xr:uid="{00000000-0005-0000-0000-00000C010000}"/>
    <cellStyle name="强调文字颜色 2 5" xfId="269" xr:uid="{00000000-0005-0000-0000-00000D010000}"/>
    <cellStyle name="强调文字颜色 2 6" xfId="270" xr:uid="{00000000-0005-0000-0000-00000E010000}"/>
    <cellStyle name="强调文字颜色 2 7" xfId="271" xr:uid="{00000000-0005-0000-0000-00000F010000}"/>
    <cellStyle name="强调文字颜色 2 8" xfId="272" xr:uid="{00000000-0005-0000-0000-000010010000}"/>
    <cellStyle name="强调文字颜色 2 9" xfId="273" xr:uid="{00000000-0005-0000-0000-000011010000}"/>
    <cellStyle name="强调文字颜色 3 2" xfId="274" xr:uid="{00000000-0005-0000-0000-000012010000}"/>
    <cellStyle name="强调文字颜色 3 3" xfId="275" xr:uid="{00000000-0005-0000-0000-000013010000}"/>
    <cellStyle name="强调文字颜色 3 4" xfId="276" xr:uid="{00000000-0005-0000-0000-000014010000}"/>
    <cellStyle name="强调文字颜色 3 5" xfId="277" xr:uid="{00000000-0005-0000-0000-000015010000}"/>
    <cellStyle name="强调文字颜色 3 6" xfId="278" xr:uid="{00000000-0005-0000-0000-000016010000}"/>
    <cellStyle name="强调文字颜色 3 7" xfId="279" xr:uid="{00000000-0005-0000-0000-000017010000}"/>
    <cellStyle name="强调文字颜色 3 8" xfId="280" xr:uid="{00000000-0005-0000-0000-000018010000}"/>
    <cellStyle name="强调文字颜色 3 9" xfId="281" xr:uid="{00000000-0005-0000-0000-000019010000}"/>
    <cellStyle name="强调文字颜色 4 2" xfId="282" xr:uid="{00000000-0005-0000-0000-00001A010000}"/>
    <cellStyle name="强调文字颜色 4 3" xfId="283" xr:uid="{00000000-0005-0000-0000-00001B010000}"/>
    <cellStyle name="强调文字颜色 4 4" xfId="284" xr:uid="{00000000-0005-0000-0000-00001C010000}"/>
    <cellStyle name="强调文字颜色 4 5" xfId="285" xr:uid="{00000000-0005-0000-0000-00001D010000}"/>
    <cellStyle name="强调文字颜色 4 6" xfId="286" xr:uid="{00000000-0005-0000-0000-00001E010000}"/>
    <cellStyle name="强调文字颜色 4 7" xfId="287" xr:uid="{00000000-0005-0000-0000-00001F010000}"/>
    <cellStyle name="强调文字颜色 4 8" xfId="288" xr:uid="{00000000-0005-0000-0000-000020010000}"/>
    <cellStyle name="强调文字颜色 4 9" xfId="289" xr:uid="{00000000-0005-0000-0000-000021010000}"/>
    <cellStyle name="强调文字颜色 5 2" xfId="290" xr:uid="{00000000-0005-0000-0000-000022010000}"/>
    <cellStyle name="强调文字颜色 5 3" xfId="291" xr:uid="{00000000-0005-0000-0000-000023010000}"/>
    <cellStyle name="强调文字颜色 5 4" xfId="292" xr:uid="{00000000-0005-0000-0000-000024010000}"/>
    <cellStyle name="强调文字颜色 5 5" xfId="293" xr:uid="{00000000-0005-0000-0000-000025010000}"/>
    <cellStyle name="强调文字颜色 5 6" xfId="294" xr:uid="{00000000-0005-0000-0000-000026010000}"/>
    <cellStyle name="强调文字颜色 5 7" xfId="295" xr:uid="{00000000-0005-0000-0000-000027010000}"/>
    <cellStyle name="强调文字颜色 5 8" xfId="296" xr:uid="{00000000-0005-0000-0000-000028010000}"/>
    <cellStyle name="强调文字颜色 5 9" xfId="297" xr:uid="{00000000-0005-0000-0000-000029010000}"/>
    <cellStyle name="强调文字颜色 6 2" xfId="298" xr:uid="{00000000-0005-0000-0000-00002A010000}"/>
    <cellStyle name="强调文字颜色 6 3" xfId="299" xr:uid="{00000000-0005-0000-0000-00002B010000}"/>
    <cellStyle name="强调文字颜色 6 4" xfId="300" xr:uid="{00000000-0005-0000-0000-00002C010000}"/>
    <cellStyle name="强调文字颜色 6 5" xfId="301" xr:uid="{00000000-0005-0000-0000-00002D010000}"/>
    <cellStyle name="强调文字颜色 6 6" xfId="302" xr:uid="{00000000-0005-0000-0000-00002E010000}"/>
    <cellStyle name="强调文字颜色 6 7" xfId="303" xr:uid="{00000000-0005-0000-0000-00002F010000}"/>
    <cellStyle name="强调文字颜色 6 8" xfId="304" xr:uid="{00000000-0005-0000-0000-000030010000}"/>
    <cellStyle name="强调文字颜色 6 9" xfId="305" xr:uid="{00000000-0005-0000-0000-000031010000}"/>
    <cellStyle name="适中 2" xfId="306" xr:uid="{00000000-0005-0000-0000-000032010000}"/>
    <cellStyle name="适中 3" xfId="307" xr:uid="{00000000-0005-0000-0000-000033010000}"/>
    <cellStyle name="适中 4" xfId="308" xr:uid="{00000000-0005-0000-0000-000034010000}"/>
    <cellStyle name="适中 5" xfId="309" xr:uid="{00000000-0005-0000-0000-000035010000}"/>
    <cellStyle name="适中 6" xfId="310" xr:uid="{00000000-0005-0000-0000-000036010000}"/>
    <cellStyle name="适中 7" xfId="311" xr:uid="{00000000-0005-0000-0000-000037010000}"/>
    <cellStyle name="适中 8" xfId="312" xr:uid="{00000000-0005-0000-0000-000038010000}"/>
    <cellStyle name="适中 9" xfId="313" xr:uid="{00000000-0005-0000-0000-000039010000}"/>
    <cellStyle name="输出 2" xfId="314" xr:uid="{00000000-0005-0000-0000-00003A010000}"/>
    <cellStyle name="输出 3" xfId="315" xr:uid="{00000000-0005-0000-0000-00003B010000}"/>
    <cellStyle name="输出 4" xfId="316" xr:uid="{00000000-0005-0000-0000-00003C010000}"/>
    <cellStyle name="输出 5" xfId="317" xr:uid="{00000000-0005-0000-0000-00003D010000}"/>
    <cellStyle name="输出 6" xfId="318" xr:uid="{00000000-0005-0000-0000-00003E010000}"/>
    <cellStyle name="输出 7" xfId="319" xr:uid="{00000000-0005-0000-0000-00003F010000}"/>
    <cellStyle name="输出 8" xfId="320" xr:uid="{00000000-0005-0000-0000-000040010000}"/>
    <cellStyle name="输出 9" xfId="321" xr:uid="{00000000-0005-0000-0000-000041010000}"/>
    <cellStyle name="输入 2" xfId="322" xr:uid="{00000000-0005-0000-0000-000042010000}"/>
    <cellStyle name="输入 3" xfId="323" xr:uid="{00000000-0005-0000-0000-000043010000}"/>
    <cellStyle name="输入 4" xfId="324" xr:uid="{00000000-0005-0000-0000-000044010000}"/>
    <cellStyle name="输入 5" xfId="325" xr:uid="{00000000-0005-0000-0000-000045010000}"/>
    <cellStyle name="输入 6" xfId="326" xr:uid="{00000000-0005-0000-0000-000046010000}"/>
    <cellStyle name="输入 7" xfId="327" xr:uid="{00000000-0005-0000-0000-000047010000}"/>
    <cellStyle name="输入 8" xfId="328" xr:uid="{00000000-0005-0000-0000-000048010000}"/>
    <cellStyle name="输入 9" xfId="329" xr:uid="{00000000-0005-0000-0000-000049010000}"/>
    <cellStyle name="注释 2" xfId="330" xr:uid="{00000000-0005-0000-0000-00004A010000}"/>
    <cellStyle name="注释 3" xfId="331" xr:uid="{00000000-0005-0000-0000-00004B010000}"/>
    <cellStyle name="注释 4" xfId="332" xr:uid="{00000000-0005-0000-0000-00004C010000}"/>
    <cellStyle name="注释 5" xfId="333" xr:uid="{00000000-0005-0000-0000-00004D010000}"/>
    <cellStyle name="注释 6" xfId="334" xr:uid="{00000000-0005-0000-0000-00004E010000}"/>
    <cellStyle name="注释 7" xfId="335" xr:uid="{00000000-0005-0000-0000-00004F010000}"/>
    <cellStyle name="注释 8" xfId="336" xr:uid="{00000000-0005-0000-0000-000050010000}"/>
    <cellStyle name="注释 9" xfId="337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74681341627873E-2"/>
          <c:y val="7.4008985073184874E-2"/>
          <c:w val="0.68794203849519631"/>
          <c:h val="0.79822506561679785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chemeClr val="accent1"/>
              </a:solidFill>
              <a:prstDash val="solid"/>
            </a:ln>
            <a:effectLst/>
          </c:spPr>
          <c:marker>
            <c:symbol val="none"/>
          </c:marker>
          <c:val>
            <c:numRef>
              <c:f>华宝LTS!$J$3:$J$97</c:f>
              <c:numCache>
                <c:formatCode>0.000_ </c:formatCode>
                <c:ptCount val="95"/>
                <c:pt idx="0" formatCode="General">
                  <c:v>1</c:v>
                </c:pt>
                <c:pt idx="1">
                  <c:v>0.99493477299816191</c:v>
                </c:pt>
                <c:pt idx="2">
                  <c:v>0.98842917750226134</c:v>
                </c:pt>
                <c:pt idx="3">
                  <c:v>0.98566360585621626</c:v>
                </c:pt>
                <c:pt idx="4">
                  <c:v>0.97921002738187157</c:v>
                </c:pt>
                <c:pt idx="5">
                  <c:v>0.93665005303101934</c:v>
                </c:pt>
                <c:pt idx="6">
                  <c:v>0.94887675591036424</c:v>
                </c:pt>
                <c:pt idx="7">
                  <c:v>0.94842732564013588</c:v>
                </c:pt>
                <c:pt idx="8">
                  <c:v>0.95631789117994082</c:v>
                </c:pt>
                <c:pt idx="9">
                  <c:v>0.94821837609256432</c:v>
                </c:pt>
                <c:pt idx="10">
                  <c:v>0.94821837609256432</c:v>
                </c:pt>
                <c:pt idx="11">
                  <c:v>0.94821837609256432</c:v>
                </c:pt>
                <c:pt idx="12">
                  <c:v>0.93891135022974215</c:v>
                </c:pt>
                <c:pt idx="13">
                  <c:v>0.95809118670268978</c:v>
                </c:pt>
                <c:pt idx="14">
                  <c:v>0.95857836556280884</c:v>
                </c:pt>
                <c:pt idx="15">
                  <c:v>0.93424096145814473</c:v>
                </c:pt>
                <c:pt idx="16">
                  <c:v>0.90520135448975692</c:v>
                </c:pt>
                <c:pt idx="17">
                  <c:v>0.90520135448975692</c:v>
                </c:pt>
                <c:pt idx="18">
                  <c:v>0.90520135448975692</c:v>
                </c:pt>
                <c:pt idx="19">
                  <c:v>0.88184313737273556</c:v>
                </c:pt>
                <c:pt idx="20">
                  <c:v>0.8771506139360058</c:v>
                </c:pt>
                <c:pt idx="21">
                  <c:v>0.85407819921132644</c:v>
                </c:pt>
                <c:pt idx="22">
                  <c:v>0.82130292304571939</c:v>
                </c:pt>
                <c:pt idx="23">
                  <c:v>0.84731653765498005</c:v>
                </c:pt>
                <c:pt idx="24">
                  <c:v>0.84731653765498005</c:v>
                </c:pt>
                <c:pt idx="25">
                  <c:v>0.84731653765498005</c:v>
                </c:pt>
                <c:pt idx="26">
                  <c:v>0.85693075031966848</c:v>
                </c:pt>
                <c:pt idx="27">
                  <c:v>0.87355220616772578</c:v>
                </c:pt>
                <c:pt idx="28">
                  <c:v>0.87915108149422849</c:v>
                </c:pt>
                <c:pt idx="29">
                  <c:v>0.8743737540842309</c:v>
                </c:pt>
                <c:pt idx="30">
                  <c:v>0.94568485770994237</c:v>
                </c:pt>
                <c:pt idx="31">
                  <c:v>0.93425697729674295</c:v>
                </c:pt>
                <c:pt idx="32">
                  <c:v>0.93451316361399017</c:v>
                </c:pt>
                <c:pt idx="33">
                  <c:v>0.92294449020763714</c:v>
                </c:pt>
                <c:pt idx="34">
                  <c:v>0.93510846675028281</c:v>
                </c:pt>
                <c:pt idx="35">
                  <c:v>0.93510846675028281</c:v>
                </c:pt>
                <c:pt idx="36">
                  <c:v>0.93510846675028281</c:v>
                </c:pt>
                <c:pt idx="37">
                  <c:v>0.93378690851709689</c:v>
                </c:pt>
                <c:pt idx="38">
                  <c:v>0.93480703664259923</c:v>
                </c:pt>
                <c:pt idx="39">
                  <c:v>0.94235815043457849</c:v>
                </c:pt>
                <c:pt idx="40">
                  <c:v>0.93782536686038964</c:v>
                </c:pt>
                <c:pt idx="41">
                  <c:v>0.93782234500467354</c:v>
                </c:pt>
                <c:pt idx="42">
                  <c:v>0.93782234500467354</c:v>
                </c:pt>
                <c:pt idx="43">
                  <c:v>0.93782234500467354</c:v>
                </c:pt>
                <c:pt idx="44">
                  <c:v>0.93867627106578877</c:v>
                </c:pt>
                <c:pt idx="45">
                  <c:v>0.95106027995474096</c:v>
                </c:pt>
                <c:pt idx="46">
                  <c:v>0.94899534082814285</c:v>
                </c:pt>
                <c:pt idx="47">
                  <c:v>0.94653530404519937</c:v>
                </c:pt>
                <c:pt idx="48">
                  <c:v>0.94850924630053701</c:v>
                </c:pt>
                <c:pt idx="49">
                  <c:v>0.94887129995926511</c:v>
                </c:pt>
                <c:pt idx="50">
                  <c:v>0.93279590327880357</c:v>
                </c:pt>
                <c:pt idx="51">
                  <c:v>0.90803207572060418</c:v>
                </c:pt>
                <c:pt idx="52">
                  <c:v>0.9158734295766785</c:v>
                </c:pt>
                <c:pt idx="53">
                  <c:v>0.91534405999637258</c:v>
                </c:pt>
                <c:pt idx="54">
                  <c:v>0.91534405999637258</c:v>
                </c:pt>
                <c:pt idx="55">
                  <c:v>0.91534405999637258</c:v>
                </c:pt>
                <c:pt idx="56">
                  <c:v>0.89977832346627429</c:v>
                </c:pt>
                <c:pt idx="57">
                  <c:v>0.8896489618733856</c:v>
                </c:pt>
                <c:pt idx="58">
                  <c:v>0.90201298720248324</c:v>
                </c:pt>
                <c:pt idx="59">
                  <c:v>0.9104940405999552</c:v>
                </c:pt>
                <c:pt idx="60">
                  <c:v>0.91923602971123253</c:v>
                </c:pt>
                <c:pt idx="61">
                  <c:v>0.91923602971123253</c:v>
                </c:pt>
                <c:pt idx="62">
                  <c:v>0.91923602971123253</c:v>
                </c:pt>
                <c:pt idx="63">
                  <c:v>0.935760887087559</c:v>
                </c:pt>
                <c:pt idx="64">
                  <c:v>0.92924777742326814</c:v>
                </c:pt>
                <c:pt idx="65">
                  <c:v>0.93840794922202309</c:v>
                </c:pt>
                <c:pt idx="66">
                  <c:v>0.93209150539128993</c:v>
                </c:pt>
                <c:pt idx="67">
                  <c:v>0.9296038325598398</c:v>
                </c:pt>
                <c:pt idx="68">
                  <c:v>0.92882916626992218</c:v>
                </c:pt>
                <c:pt idx="69">
                  <c:v>0.92848103775191426</c:v>
                </c:pt>
                <c:pt idx="70">
                  <c:v>0.92757547513922589</c:v>
                </c:pt>
                <c:pt idx="71">
                  <c:v>0.94464019950963207</c:v>
                </c:pt>
                <c:pt idx="72">
                  <c:v>0.93592627491272939</c:v>
                </c:pt>
                <c:pt idx="73">
                  <c:v>0.93792635358603449</c:v>
                </c:pt>
                <c:pt idx="74">
                  <c:v>0.92926727262027664</c:v>
                </c:pt>
                <c:pt idx="75">
                  <c:v>0.89847942918647061</c:v>
                </c:pt>
                <c:pt idx="76">
                  <c:v>0.88645560575681703</c:v>
                </c:pt>
                <c:pt idx="77">
                  <c:v>0.89701214782041805</c:v>
                </c:pt>
                <c:pt idx="78">
                  <c:v>0.91401688696925987</c:v>
                </c:pt>
                <c:pt idx="79">
                  <c:v>0.92043530567665255</c:v>
                </c:pt>
                <c:pt idx="80">
                  <c:v>0.91801897241227737</c:v>
                </c:pt>
                <c:pt idx="81">
                  <c:v>0.91993507177539213</c:v>
                </c:pt>
                <c:pt idx="82">
                  <c:v>0.91596383587489349</c:v>
                </c:pt>
                <c:pt idx="83">
                  <c:v>0.92630550230553343</c:v>
                </c:pt>
                <c:pt idx="84">
                  <c:v>0.92553961956591624</c:v>
                </c:pt>
                <c:pt idx="85">
                  <c:v>0.92647517478938701</c:v>
                </c:pt>
                <c:pt idx="86">
                  <c:v>0.93016321127481794</c:v>
                </c:pt>
                <c:pt idx="87">
                  <c:v>0.92963873863694846</c:v>
                </c:pt>
                <c:pt idx="88">
                  <c:v>0.92847040121600366</c:v>
                </c:pt>
                <c:pt idx="89">
                  <c:v>0.93285839055272479</c:v>
                </c:pt>
                <c:pt idx="90">
                  <c:v>0.93480113691551447</c:v>
                </c:pt>
                <c:pt idx="91">
                  <c:v>0.93480113691551447</c:v>
                </c:pt>
                <c:pt idx="92">
                  <c:v>0.91512111298045107</c:v>
                </c:pt>
                <c:pt idx="93">
                  <c:v>0.92351792319274495</c:v>
                </c:pt>
                <c:pt idx="94">
                  <c:v>0.92764186611005639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64-4E0D-801E-D05F94727241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val>
            <c:numRef>
              <c:f>华宝LTS!$K$3:$K$97</c:f>
              <c:numCache>
                <c:formatCode>0.000_ </c:formatCode>
                <c:ptCount val="95"/>
                <c:pt idx="0" formatCode="General">
                  <c:v>1</c:v>
                </c:pt>
                <c:pt idx="1">
                  <c:v>0.97864153008742072</c:v>
                </c:pt>
                <c:pt idx="2">
                  <c:v>0.9493357225329514</c:v>
                </c:pt>
                <c:pt idx="3">
                  <c:v>0.9632079503366372</c:v>
                </c:pt>
                <c:pt idx="4">
                  <c:v>0.92416852854293818</c:v>
                </c:pt>
                <c:pt idx="5">
                  <c:v>0.86915570783787433</c:v>
                </c:pt>
                <c:pt idx="6">
                  <c:v>0.89709134939795176</c:v>
                </c:pt>
                <c:pt idx="7">
                  <c:v>0.91471794448859634</c:v>
                </c:pt>
                <c:pt idx="8">
                  <c:v>0.8821769707148106</c:v>
                </c:pt>
                <c:pt idx="9">
                  <c:v>0.8127652236500772</c:v>
                </c:pt>
                <c:pt idx="10">
                  <c:v>0.8127652236500772</c:v>
                </c:pt>
                <c:pt idx="11">
                  <c:v>0.8127652236500772</c:v>
                </c:pt>
                <c:pt idx="12">
                  <c:v>0.78564305957504232</c:v>
                </c:pt>
                <c:pt idx="13">
                  <c:v>0.83840663377768454</c:v>
                </c:pt>
                <c:pt idx="14">
                  <c:v>0.79717419664412437</c:v>
                </c:pt>
                <c:pt idx="15">
                  <c:v>0.76999205266235815</c:v>
                </c:pt>
                <c:pt idx="16">
                  <c:v>0.72836599739087404</c:v>
                </c:pt>
                <c:pt idx="17">
                  <c:v>0.72836599739087404</c:v>
                </c:pt>
                <c:pt idx="18">
                  <c:v>0.72836599739087404</c:v>
                </c:pt>
                <c:pt idx="19">
                  <c:v>0.74947517581610157</c:v>
                </c:pt>
                <c:pt idx="20">
                  <c:v>0.73625335512603285</c:v>
                </c:pt>
                <c:pt idx="21">
                  <c:v>0.68658999235256191</c:v>
                </c:pt>
                <c:pt idx="22">
                  <c:v>0.73056088710282063</c:v>
                </c:pt>
                <c:pt idx="23">
                  <c:v>0.76972214308206754</c:v>
                </c:pt>
                <c:pt idx="24">
                  <c:v>0.76972214308206754</c:v>
                </c:pt>
                <c:pt idx="25">
                  <c:v>0.76972214308206754</c:v>
                </c:pt>
                <c:pt idx="26">
                  <c:v>0.78944990928039116</c:v>
                </c:pt>
                <c:pt idx="27">
                  <c:v>0.77076991707777887</c:v>
                </c:pt>
                <c:pt idx="28">
                  <c:v>0.74351842132885493</c:v>
                </c:pt>
                <c:pt idx="29">
                  <c:v>0.74925399991003017</c:v>
                </c:pt>
                <c:pt idx="30">
                  <c:v>0.71577209134939801</c:v>
                </c:pt>
                <c:pt idx="31">
                  <c:v>0.71434007107618946</c:v>
                </c:pt>
                <c:pt idx="32">
                  <c:v>0.7366994556823464</c:v>
                </c:pt>
                <c:pt idx="33">
                  <c:v>0.71514979981706128</c:v>
                </c:pt>
                <c:pt idx="34">
                  <c:v>0.71539159381607165</c:v>
                </c:pt>
                <c:pt idx="35">
                  <c:v>0.71539159381607165</c:v>
                </c:pt>
                <c:pt idx="36">
                  <c:v>0.71539159381607165</c:v>
                </c:pt>
                <c:pt idx="37">
                  <c:v>0.71774205641110222</c:v>
                </c:pt>
                <c:pt idx="38">
                  <c:v>0.74003208925010122</c:v>
                </c:pt>
                <c:pt idx="39">
                  <c:v>0.72480094168453568</c:v>
                </c:pt>
                <c:pt idx="40">
                  <c:v>0.71823126752537902</c:v>
                </c:pt>
                <c:pt idx="41">
                  <c:v>0.73230780188636801</c:v>
                </c:pt>
                <c:pt idx="42">
                  <c:v>0.73230780188636801</c:v>
                </c:pt>
                <c:pt idx="43">
                  <c:v>0.73230780188636801</c:v>
                </c:pt>
                <c:pt idx="44">
                  <c:v>0.7655629114246727</c:v>
                </c:pt>
                <c:pt idx="45">
                  <c:v>0.76224527283360077</c:v>
                </c:pt>
                <c:pt idx="46">
                  <c:v>0.75277219631423475</c:v>
                </c:pt>
                <c:pt idx="47">
                  <c:v>0.76389284589662465</c:v>
                </c:pt>
                <c:pt idx="48">
                  <c:v>0.76353296645623714</c:v>
                </c:pt>
                <c:pt idx="49">
                  <c:v>0.76434456956919428</c:v>
                </c:pt>
                <c:pt idx="50">
                  <c:v>0.71702417190241263</c:v>
                </c:pt>
                <c:pt idx="51">
                  <c:v>0.72840723357675174</c:v>
                </c:pt>
                <c:pt idx="52">
                  <c:v>0.70503568804450512</c:v>
                </c:pt>
                <c:pt idx="53">
                  <c:v>0.67281335752522908</c:v>
                </c:pt>
                <c:pt idx="54">
                  <c:v>0.67281335752522908</c:v>
                </c:pt>
                <c:pt idx="55">
                  <c:v>0.67281335752522908</c:v>
                </c:pt>
                <c:pt idx="56">
                  <c:v>0.61395619967310955</c:v>
                </c:pt>
                <c:pt idx="57">
                  <c:v>0.57035830496783579</c:v>
                </c:pt>
                <c:pt idx="58">
                  <c:v>0.56712688749269002</c:v>
                </c:pt>
                <c:pt idx="59">
                  <c:v>0.6008562131685885</c:v>
                </c:pt>
                <c:pt idx="60">
                  <c:v>0.6264695077149155</c:v>
                </c:pt>
                <c:pt idx="61">
                  <c:v>0.6264695077149155</c:v>
                </c:pt>
                <c:pt idx="62">
                  <c:v>0.6264695077149155</c:v>
                </c:pt>
                <c:pt idx="63">
                  <c:v>0.63101486002189267</c:v>
                </c:pt>
                <c:pt idx="64">
                  <c:v>0.63017889007182593</c:v>
                </c:pt>
                <c:pt idx="65">
                  <c:v>0.63088177960383274</c:v>
                </c:pt>
                <c:pt idx="66">
                  <c:v>0.60926277197138956</c:v>
                </c:pt>
                <c:pt idx="67">
                  <c:v>0.62491940200032992</c:v>
                </c:pt>
                <c:pt idx="68">
                  <c:v>0.63715717734558919</c:v>
                </c:pt>
                <c:pt idx="69">
                  <c:v>0.62933167388924716</c:v>
                </c:pt>
                <c:pt idx="70">
                  <c:v>0.62738795003673775</c:v>
                </c:pt>
                <c:pt idx="71">
                  <c:v>0.6150058480409063</c:v>
                </c:pt>
                <c:pt idx="72">
                  <c:v>0.5908451918607267</c:v>
                </c:pt>
                <c:pt idx="73">
                  <c:v>0.62027658234491445</c:v>
                </c:pt>
                <c:pt idx="74">
                  <c:v>0.6067342440282506</c:v>
                </c:pt>
                <c:pt idx="75">
                  <c:v>0.60940897299404695</c:v>
                </c:pt>
                <c:pt idx="76">
                  <c:v>0.62008914513637936</c:v>
                </c:pt>
                <c:pt idx="77">
                  <c:v>0.62585846241509102</c:v>
                </c:pt>
                <c:pt idx="78">
                  <c:v>0.61161323456642025</c:v>
                </c:pt>
                <c:pt idx="79">
                  <c:v>0.61573123003793728</c:v>
                </c:pt>
                <c:pt idx="80">
                  <c:v>0.60578768612514811</c:v>
                </c:pt>
                <c:pt idx="81">
                  <c:v>0.6078120079773276</c:v>
                </c:pt>
                <c:pt idx="82">
                  <c:v>0.59583477035193211</c:v>
                </c:pt>
                <c:pt idx="83">
                  <c:v>0.60035200707762892</c:v>
                </c:pt>
                <c:pt idx="84">
                  <c:v>0.61788300919192074</c:v>
                </c:pt>
                <c:pt idx="85">
                  <c:v>0.62606276897239421</c:v>
                </c:pt>
                <c:pt idx="86">
                  <c:v>0.69463667171497545</c:v>
                </c:pt>
                <c:pt idx="87">
                  <c:v>0.71101868374094679</c:v>
                </c:pt>
                <c:pt idx="88">
                  <c:v>0.71982635817001306</c:v>
                </c:pt>
                <c:pt idx="89">
                  <c:v>0.70553801976337926</c:v>
                </c:pt>
                <c:pt idx="90">
                  <c:v>0.70741239184873073</c:v>
                </c:pt>
                <c:pt idx="91">
                  <c:v>0.70741239184873073</c:v>
                </c:pt>
                <c:pt idx="92">
                  <c:v>0.66671227638741015</c:v>
                </c:pt>
                <c:pt idx="93">
                  <c:v>0.67645901123123753</c:v>
                </c:pt>
                <c:pt idx="94">
                  <c:v>0.70399353716504975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4-4E0D-801E-D05F94727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2042752"/>
        <c:axId val="242044288"/>
      </c:lineChart>
      <c:catAx>
        <c:axId val="242042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>
            <a:solidFill>
              <a:srgbClr val="808080">
                <a:alpha val="100000"/>
              </a:srgbClr>
            </a:solidFill>
            <a:prstDash val="solid"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42044288"/>
        <c:crosses val="autoZero"/>
        <c:auto val="1"/>
        <c:lblAlgn val="ctr"/>
        <c:lblOffset val="100"/>
        <c:tickMarkSkip val="1"/>
        <c:noMultiLvlLbl val="0"/>
      </c:catAx>
      <c:valAx>
        <c:axId val="242044288"/>
        <c:scaling>
          <c:orientation val="minMax"/>
        </c:scaling>
        <c:delete val="0"/>
        <c:axPos val="l"/>
        <c:majorGridlines>
          <c:spPr>
            <a:ln w="9525">
              <a:solidFill>
                <a:srgbClr val="808080">
                  <a:alpha val="100000"/>
                </a:srgbClr>
              </a:solidFill>
              <a:prstDash val="solid"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>
            <a:solidFill>
              <a:srgbClr val="808080">
                <a:alpha val="100000"/>
              </a:srgbClr>
            </a:solidFill>
            <a:prstDash val="solid"/>
          </a:ln>
          <a:effectLst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242042752"/>
        <c:crosses val="autoZero"/>
        <c:crossBetween val="between"/>
      </c:valAx>
      <c:spPr>
        <a:solidFill>
          <a:srgbClr val="FFFFFF">
            <a:alpha val="100000"/>
          </a:srgbClr>
        </a:solidFill>
        <a:ln w="9525">
          <a:noFill/>
        </a:ln>
        <a:effectLst/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宋体"/>
              <a:ea typeface="宋体"/>
              <a:cs typeface="宋体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>
        <a:alpha val="100000"/>
      </a:srgbClr>
    </a:solidFill>
    <a:ln w="9525" cap="flat" cmpd="sng" algn="ctr">
      <a:solidFill>
        <a:srgbClr val="808080">
          <a:alpha val="100000"/>
        </a:srgbClr>
      </a:solidFill>
      <a:prstDash val="solid"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466" r="0.75000000000000466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350521</xdr:colOff>
      <xdr:row>24</xdr:row>
      <xdr:rowOff>15240</xdr:rowOff>
    </xdr:from>
    <xdr:to>
      <xdr:col>8</xdr:col>
      <xdr:colOff>466497</xdr:colOff>
      <xdr:row>34</xdr:row>
      <xdr:rowOff>53340</xdr:rowOff>
    </xdr:to>
    <xdr:pic>
      <xdr:nvPicPr>
        <xdr:cNvPr id="2" name="图片 1" descr="图片">
          <a:extLst>
            <a:ext uri="{FF2B5EF4-FFF2-40B4-BE49-F238E27FC236}">
              <a16:creationId xmlns:a16="http://schemas.microsoft.com/office/drawing/2014/main" id="{0B98215E-1414-456D-84F2-73B9571F08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5135880"/>
          <a:ext cx="2798216" cy="224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31</xdr:row>
      <xdr:rowOff>114300</xdr:rowOff>
    </xdr:from>
    <xdr:to>
      <xdr:col>23</xdr:col>
      <xdr:colOff>609600</xdr:colOff>
      <xdr:row>65</xdr:row>
      <xdr:rowOff>171450</xdr:rowOff>
    </xdr:to>
    <xdr:graphicFrame macro="">
      <xdr:nvGraphicFramePr>
        <xdr:cNvPr id="2945507" name="图表 5">
          <a:extLst>
            <a:ext uri="{FF2B5EF4-FFF2-40B4-BE49-F238E27FC236}">
              <a16:creationId xmlns:a16="http://schemas.microsoft.com/office/drawing/2014/main" id="{00000000-0008-0000-0A00-0000E3F12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javascript:void(0);" TargetMode="External"/><Relationship Id="rId13" Type="http://schemas.openxmlformats.org/officeDocument/2006/relationships/hyperlink" Target="javascript:void(0);" TargetMode="External"/><Relationship Id="rId18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7" Type="http://schemas.openxmlformats.org/officeDocument/2006/relationships/hyperlink" Target="javascript:void(0);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6" Type="http://schemas.openxmlformats.org/officeDocument/2006/relationships/hyperlink" Target="javascript:void(0);" TargetMode="External"/><Relationship Id="rId20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6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24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hyperlink" Target="javascript:void(0);" TargetMode="External"/><Relationship Id="rId10" Type="http://schemas.openxmlformats.org/officeDocument/2006/relationships/hyperlink" Target="javascript:void(0);" TargetMode="External"/><Relationship Id="rId19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Relationship Id="rId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2" Type="http://schemas.openxmlformats.org/officeDocument/2006/relationships/hyperlink" Target="javascript:void(0);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google.com.hk/finance?q=SHA%3A601288&amp;client=fss&amp;ei=K7K5V-H6IMGXiALpzI6wCQ&amp;gl=cn" TargetMode="External"/><Relationship Id="rId299" Type="http://schemas.openxmlformats.org/officeDocument/2006/relationships/hyperlink" Target="https://www.google.com.hk/finance?q=SHE%3A002557&amp;client=fss&amp;ei=K7K5V-H6IMGXiALpzI6wCQ&amp;gl=cn" TargetMode="External"/><Relationship Id="rId303" Type="http://schemas.openxmlformats.org/officeDocument/2006/relationships/hyperlink" Target="https://www.google.com.hk/finance?q=SHA%3A600585&amp;client=fss&amp;ei=K7K5V-H6IMGXiALpzI6wCQ&amp;gl=cn" TargetMode="External"/><Relationship Id="rId21" Type="http://schemas.openxmlformats.org/officeDocument/2006/relationships/hyperlink" Target="http://www.cninfo.com.cn/information/dividend/szmb000600.html" TargetMode="External"/><Relationship Id="rId42" Type="http://schemas.openxmlformats.org/officeDocument/2006/relationships/hyperlink" Target="http://www.cninfo.com.cn/information/dividend/shmb601166.html" TargetMode="External"/><Relationship Id="rId63" Type="http://schemas.openxmlformats.org/officeDocument/2006/relationships/hyperlink" Target="http://www.cninfo.com.cn/information/dividend/shmb601211.html" TargetMode="External"/><Relationship Id="rId84" Type="http://schemas.openxmlformats.org/officeDocument/2006/relationships/hyperlink" Target="http://www.cninfo.com.cn/information/dividend/shmb601788.html" TargetMode="External"/><Relationship Id="rId138" Type="http://schemas.openxmlformats.org/officeDocument/2006/relationships/hyperlink" Target="https://www.google.com.hk/finance?q=SHA%3A601328&amp;client=fss&amp;ei=K7K5V-H6IMGXiALpzI6wCQ&amp;gl=cn" TargetMode="External"/><Relationship Id="rId159" Type="http://schemas.openxmlformats.org/officeDocument/2006/relationships/hyperlink" Target="https://www.google.com.hk/finance?q=SHA%3A600548&amp;client=fss&amp;ei=K7K5V-H6IMGXiALpzI6wCQ&amp;gl=cn" TargetMode="External"/><Relationship Id="rId324" Type="http://schemas.openxmlformats.org/officeDocument/2006/relationships/hyperlink" Target="https://www.google.com.hk/finance?q=SHE%3A002206&amp;client=fss&amp;ei=K7K5V-H6IMGXiALpzI6wCQ&amp;gl=cn" TargetMode="External"/><Relationship Id="rId170" Type="http://schemas.openxmlformats.org/officeDocument/2006/relationships/hyperlink" Target="https://www.google.com.hk/finance?q=SHA%3A600859&amp;client=fss&amp;ei=K7K5V-H6IMGXiALpzI6wCQ&amp;gl=cn" TargetMode="External"/><Relationship Id="rId191" Type="http://schemas.openxmlformats.org/officeDocument/2006/relationships/hyperlink" Target="https://www.google.com.hk/finance?q=SHA%3A600015&amp;client=fss&amp;ei=K7K5V-H6IMGXiALpzI6wCQ&amp;gl=cn" TargetMode="External"/><Relationship Id="rId205" Type="http://schemas.openxmlformats.org/officeDocument/2006/relationships/hyperlink" Target="https://www.google.com.hk/finance?q=SHE%3A002003&amp;client=fss&amp;ei=K7K5V-H6IMGXiALpzI6wCQ&amp;gl=cn" TargetMode="External"/><Relationship Id="rId226" Type="http://schemas.openxmlformats.org/officeDocument/2006/relationships/hyperlink" Target="https://www.google.com.hk/finance?q=SHE%3A000783&amp;client=fss&amp;ei=K7K5V-H6IMGXiALpzI6wCQ&amp;gl=cn" TargetMode="External"/><Relationship Id="rId247" Type="http://schemas.openxmlformats.org/officeDocument/2006/relationships/hyperlink" Target="https://www.google.com.hk/finance?q=SHA%3A600018&amp;client=fss&amp;ei=K7K5V-H6IMGXiALpzI6wCQ&amp;gl=cn" TargetMode="External"/><Relationship Id="rId107" Type="http://schemas.openxmlformats.org/officeDocument/2006/relationships/hyperlink" Target="https://www.google.com.hk/finance?q=SHA%3A600469&amp;client=fss&amp;ei=K7K5V-H6IMGXiALpzI6wCQ&amp;gl=cn" TargetMode="External"/><Relationship Id="rId268" Type="http://schemas.openxmlformats.org/officeDocument/2006/relationships/hyperlink" Target="https://www.google.com.hk/finance?q=SHE%3A002498&amp;client=fss&amp;ei=K7K5V-H6IMGXiALpzI6wCQ&amp;gl=cn" TargetMode="External"/><Relationship Id="rId289" Type="http://schemas.openxmlformats.org/officeDocument/2006/relationships/hyperlink" Target="https://www.google.com.hk/finance?q=SHA%3A600183&amp;client=fss&amp;ei=K7K5V-H6IMGXiALpzI6wCQ&amp;gl=cn" TargetMode="External"/><Relationship Id="rId11" Type="http://schemas.openxmlformats.org/officeDocument/2006/relationships/hyperlink" Target="http://www.cninfo.com.cn/information/dividend/shmb601288.html" TargetMode="External"/><Relationship Id="rId32" Type="http://schemas.openxmlformats.org/officeDocument/2006/relationships/hyperlink" Target="http://www.cninfo.com.cn/information/dividend/szmb002568.html" TargetMode="External"/><Relationship Id="rId53" Type="http://schemas.openxmlformats.org/officeDocument/2006/relationships/hyperlink" Target="http://www.cninfo.com.cn/information/dividend/shmb600020.html" TargetMode="External"/><Relationship Id="rId74" Type="http://schemas.openxmlformats.org/officeDocument/2006/relationships/hyperlink" Target="http://www.cninfo.com.cn/information/dividend/shmb600028.html" TargetMode="External"/><Relationship Id="rId128" Type="http://schemas.openxmlformats.org/officeDocument/2006/relationships/hyperlink" Target="https://www.google.com.hk/finance?q=SHE%3A000895&amp;client=fss&amp;ei=K7K5V-H6IMGXiALpzI6wCQ&amp;gl=cn" TargetMode="External"/><Relationship Id="rId149" Type="http://schemas.openxmlformats.org/officeDocument/2006/relationships/hyperlink" Target="https://www.google.com.hk/finance?q=SHA%3A600377&amp;client=fss&amp;ei=K7K5V-H6IMGXiALpzI6wCQ&amp;gl=cn" TargetMode="External"/><Relationship Id="rId314" Type="http://schemas.openxmlformats.org/officeDocument/2006/relationships/hyperlink" Target="https://www.google.com.hk/finance?q=SHE%3A002275&amp;client=fss&amp;ei=K7K5V-H6IMGXiALpzI6wCQ&amp;gl=cn" TargetMode="External"/><Relationship Id="rId335" Type="http://schemas.openxmlformats.org/officeDocument/2006/relationships/hyperlink" Target="https://www.google.com.hk/finance?q=SHA%3A600566&amp;client=fss&amp;ei=K7K5V-H6IMGXiALpzI6wCQ&amp;gl=cn" TargetMode="External"/><Relationship Id="rId5" Type="http://schemas.openxmlformats.org/officeDocument/2006/relationships/hyperlink" Target="http://www.cninfo.com.cn/information/dividend/shmb600066.html" TargetMode="External"/><Relationship Id="rId95" Type="http://schemas.openxmlformats.org/officeDocument/2006/relationships/hyperlink" Target="http://www.cninfo.com.cn/information/dividend/shmb600009.html" TargetMode="External"/><Relationship Id="rId160" Type="http://schemas.openxmlformats.org/officeDocument/2006/relationships/hyperlink" Target="https://www.google.com.hk/finance?q=SHA%3A600548&amp;client=fss&amp;ei=K7K5V-H6IMGXiALpzI6wCQ&amp;gl=cn" TargetMode="External"/><Relationship Id="rId181" Type="http://schemas.openxmlformats.org/officeDocument/2006/relationships/hyperlink" Target="https://www.google.com.hk/finance?q=SHA%3A600795&amp;client=fss&amp;ei=K7K5V-H6IMGXiALpzI6wCQ&amp;gl=cn" TargetMode="External"/><Relationship Id="rId216" Type="http://schemas.openxmlformats.org/officeDocument/2006/relationships/hyperlink" Target="https://www.google.com.hk/finance?q=SHA%3A600642&amp;client=fss&amp;ei=K7K5V-H6IMGXiALpzI6wCQ&amp;gl=cn" TargetMode="External"/><Relationship Id="rId237" Type="http://schemas.openxmlformats.org/officeDocument/2006/relationships/hyperlink" Target="https://www.google.com.hk/finance?q=SHA%3A600028&amp;client=fss&amp;ei=K7K5V-H6IMGXiALpzI6wCQ&amp;gl=cn" TargetMode="External"/><Relationship Id="rId258" Type="http://schemas.openxmlformats.org/officeDocument/2006/relationships/hyperlink" Target="https://www.google.com.hk/finance?q=SHA%3A600674&amp;client=fss&amp;ei=K7K5V-H6IMGXiALpzI6wCQ&amp;gl=cn" TargetMode="External"/><Relationship Id="rId279" Type="http://schemas.openxmlformats.org/officeDocument/2006/relationships/hyperlink" Target="https://www.google.com.hk/finance?q=SHA%3A600312&amp;client=fss&amp;ei=K7K5V-H6IMGXiALpzI6wCQ&amp;gl=cn" TargetMode="External"/><Relationship Id="rId22" Type="http://schemas.openxmlformats.org/officeDocument/2006/relationships/hyperlink" Target="http://www.cninfo.com.cn/information/dividend/shmb601818.html" TargetMode="External"/><Relationship Id="rId43" Type="http://schemas.openxmlformats.org/officeDocument/2006/relationships/hyperlink" Target="http://www.cninfo.com.cn/information/dividend/shmb601601.html" TargetMode="External"/><Relationship Id="rId64" Type="http://schemas.openxmlformats.org/officeDocument/2006/relationships/hyperlink" Target="http://www.cninfo.com.cn/information/dividend/shmb600583.html" TargetMode="External"/><Relationship Id="rId118" Type="http://schemas.openxmlformats.org/officeDocument/2006/relationships/hyperlink" Target="https://www.google.com.hk/finance?q=SHA%3A601288&amp;client=fss&amp;ei=K7K5V-H6IMGXiALpzI6wCQ&amp;gl=cn" TargetMode="External"/><Relationship Id="rId139" Type="http://schemas.openxmlformats.org/officeDocument/2006/relationships/hyperlink" Target="https://www.google.com.hk/finance?q=SHA%3A600578&amp;client=fss&amp;ei=K7K5V-H6IMGXiALpzI6wCQ&amp;gl=cn" TargetMode="External"/><Relationship Id="rId290" Type="http://schemas.openxmlformats.org/officeDocument/2006/relationships/hyperlink" Target="https://www.google.com.hk/finance?q=SHA%3A600183&amp;client=fss&amp;ei=K7K5V-H6IMGXiALpzI6wCQ&amp;gl=cn" TargetMode="External"/><Relationship Id="rId304" Type="http://schemas.openxmlformats.org/officeDocument/2006/relationships/hyperlink" Target="https://www.google.com.hk/finance?q=SHA%3A600585&amp;client=fss&amp;ei=K7K5V-H6IMGXiALpzI6wCQ&amp;gl=cn" TargetMode="External"/><Relationship Id="rId325" Type="http://schemas.openxmlformats.org/officeDocument/2006/relationships/hyperlink" Target="https://www.google.com.hk/finance?q=SHE%3A002561&amp;client=fss&amp;ei=K7K5V-H6IMGXiALpzI6wCQ&amp;gl=cn" TargetMode="External"/><Relationship Id="rId85" Type="http://schemas.openxmlformats.org/officeDocument/2006/relationships/hyperlink" Target="http://www.cninfo.com.cn/information/dividend/shmb600674.html" TargetMode="External"/><Relationship Id="rId150" Type="http://schemas.openxmlformats.org/officeDocument/2006/relationships/hyperlink" Target="https://www.google.com.hk/finance?q=SHA%3A600377&amp;client=fss&amp;ei=K7K5V-H6IMGXiALpzI6wCQ&amp;gl=cn" TargetMode="External"/><Relationship Id="rId171" Type="http://schemas.openxmlformats.org/officeDocument/2006/relationships/hyperlink" Target="https://www.google.com.hk/finance?q=SHA%3A601601&amp;client=fss&amp;ei=K7K5V-H6IMGXiALpzI6wCQ&amp;gl=cn" TargetMode="External"/><Relationship Id="rId192" Type="http://schemas.openxmlformats.org/officeDocument/2006/relationships/hyperlink" Target="https://www.google.com.hk/finance?q=SHA%3A600015&amp;client=fss&amp;ei=K7K5V-H6IMGXiALpzI6wCQ&amp;gl=cn" TargetMode="External"/><Relationship Id="rId206" Type="http://schemas.openxmlformats.org/officeDocument/2006/relationships/hyperlink" Target="https://www.google.com.hk/finance?q=SHE%3A002003&amp;client=fss&amp;ei=K7K5V-H6IMGXiALpzI6wCQ&amp;gl=cn" TargetMode="External"/><Relationship Id="rId227" Type="http://schemas.openxmlformats.org/officeDocument/2006/relationships/hyperlink" Target="https://www.google.com.hk/finance?q=SHA%3A601668&amp;client=fss&amp;ei=K7K5V-H6IMGXiALpzI6wCQ&amp;gl=cn" TargetMode="External"/><Relationship Id="rId248" Type="http://schemas.openxmlformats.org/officeDocument/2006/relationships/hyperlink" Target="https://www.google.com.hk/finance?q=SHA%3A600018&amp;client=fss&amp;ei=K7K5V-H6IMGXiALpzI6wCQ&amp;gl=cn" TargetMode="External"/><Relationship Id="rId269" Type="http://schemas.openxmlformats.org/officeDocument/2006/relationships/hyperlink" Target="https://www.google.com.hk/finance?q=SHE%3A002202&amp;client=fss&amp;ei=K7K5V-H6IMGXiALpzI6wCQ&amp;gl=cn" TargetMode="External"/><Relationship Id="rId12" Type="http://schemas.openxmlformats.org/officeDocument/2006/relationships/hyperlink" Target="http://www.cninfo.com.cn/information/dividend/shmb601398.html" TargetMode="External"/><Relationship Id="rId33" Type="http://schemas.openxmlformats.org/officeDocument/2006/relationships/hyperlink" Target="http://www.cninfo.com.cn/information/dividend/shmb600999.html" TargetMode="External"/><Relationship Id="rId108" Type="http://schemas.openxmlformats.org/officeDocument/2006/relationships/hyperlink" Target="https://www.google.com.hk/finance?q=SHA%3A600469&amp;client=fss&amp;ei=K7K5V-H6IMGXiALpzI6wCQ&amp;gl=cn" TargetMode="External"/><Relationship Id="rId129" Type="http://schemas.openxmlformats.org/officeDocument/2006/relationships/hyperlink" Target="https://www.google.com.hk/finance?q=SHA%3A600894&amp;client=fss&amp;ei=K7K5V-H6IMGXiALpzI6wCQ&amp;gl=cn" TargetMode="External"/><Relationship Id="rId280" Type="http://schemas.openxmlformats.org/officeDocument/2006/relationships/hyperlink" Target="https://www.google.com.hk/finance?q=SHA%3A600312&amp;client=fss&amp;ei=K7K5V-H6IMGXiALpzI6wCQ&amp;gl=cn" TargetMode="External"/><Relationship Id="rId315" Type="http://schemas.openxmlformats.org/officeDocument/2006/relationships/hyperlink" Target="https://www.google.com.hk/finance?q=SHE%3A002304&amp;client=fss&amp;ei=K7K5V-H6IMGXiALpzI6wCQ&amp;gl=cn" TargetMode="External"/><Relationship Id="rId336" Type="http://schemas.openxmlformats.org/officeDocument/2006/relationships/hyperlink" Target="https://www.google.com.hk/finance?q=SHA%3A600566&amp;client=fss&amp;ei=K7K5V-H6IMGXiALpzI6wCQ&amp;gl=cn" TargetMode="External"/><Relationship Id="rId54" Type="http://schemas.openxmlformats.org/officeDocument/2006/relationships/hyperlink" Target="http://www.cninfo.com.cn/information/dividend/shmb601158.html" TargetMode="External"/><Relationship Id="rId75" Type="http://schemas.openxmlformats.org/officeDocument/2006/relationships/hyperlink" Target="http://www.cninfo.com.cn/information/dividend/szmb000525.html" TargetMode="External"/><Relationship Id="rId96" Type="http://schemas.openxmlformats.org/officeDocument/2006/relationships/hyperlink" Target="http://www.cninfo.com.cn/information/dividend/shmb600170.html" TargetMode="External"/><Relationship Id="rId140" Type="http://schemas.openxmlformats.org/officeDocument/2006/relationships/hyperlink" Target="https://www.google.com.hk/finance?q=SHA%3A600578&amp;client=fss&amp;ei=K7K5V-H6IMGXiALpzI6wCQ&amp;gl=cn" TargetMode="External"/><Relationship Id="rId161" Type="http://schemas.openxmlformats.org/officeDocument/2006/relationships/hyperlink" Target="https://www.google.com.hk/finance?q=SHA%3A600236&amp;client=fss&amp;ei=K7K5V-H6IMGXiALpzI6wCQ&amp;gl=cn" TargetMode="External"/><Relationship Id="rId182" Type="http://schemas.openxmlformats.org/officeDocument/2006/relationships/hyperlink" Target="https://www.google.com.hk/finance?q=SHA%3A600795&amp;client=fss&amp;ei=K7K5V-H6IMGXiALpzI6wCQ&amp;gl=cn" TargetMode="External"/><Relationship Id="rId217" Type="http://schemas.openxmlformats.org/officeDocument/2006/relationships/hyperlink" Target="https://www.google.com.hk/finance?q=SHA%3A601211&amp;client=fss&amp;ei=K7K5V-H6IMGXiALpzI6wCQ&amp;gl=cn" TargetMode="External"/><Relationship Id="rId6" Type="http://schemas.openxmlformats.org/officeDocument/2006/relationships/hyperlink" Target="http://www.cninfo.com.cn/information/dividend/shmb600469.html" TargetMode="External"/><Relationship Id="rId238" Type="http://schemas.openxmlformats.org/officeDocument/2006/relationships/hyperlink" Target="https://www.google.com.hk/finance?q=SHA%3A600028&amp;client=fss&amp;ei=K7K5V-H6IMGXiALpzI6wCQ&amp;gl=cn" TargetMode="External"/><Relationship Id="rId259" Type="http://schemas.openxmlformats.org/officeDocument/2006/relationships/hyperlink" Target="https://www.google.com.hk/finance?q=SHE%3A000027&amp;client=fss&amp;ei=K7K5V-H6IMGXiALpzI6wCQ&amp;gl=cn" TargetMode="External"/><Relationship Id="rId23" Type="http://schemas.openxmlformats.org/officeDocument/2006/relationships/hyperlink" Target="http://www.cninfo.com.cn/information/dividend/shmb601328.html" TargetMode="External"/><Relationship Id="rId119" Type="http://schemas.openxmlformats.org/officeDocument/2006/relationships/hyperlink" Target="https://www.google.com.hk/finance?q=SHA%3A601939&amp;client=fss&amp;ei=K7K5V-H6IMGXiALpzI6wCQ&amp;gl=cn" TargetMode="External"/><Relationship Id="rId270" Type="http://schemas.openxmlformats.org/officeDocument/2006/relationships/hyperlink" Target="https://www.google.com.hk/finance?q=SHE%3A002202&amp;client=fss&amp;ei=K7K5V-H6IMGXiALpzI6wCQ&amp;gl=cn" TargetMode="External"/><Relationship Id="rId291" Type="http://schemas.openxmlformats.org/officeDocument/2006/relationships/hyperlink" Target="https://www.google.com.hk/finance?q=SHA%3A600509&amp;client=fss&amp;ei=K7K5V-H6IMGXiALpzI6wCQ&amp;gl=cn" TargetMode="External"/><Relationship Id="rId305" Type="http://schemas.openxmlformats.org/officeDocument/2006/relationships/hyperlink" Target="https://www.google.com.hk/finance?q=SHA%3A603188&amp;client=fss&amp;ei=K7K5V-H6IMGXiALpzI6wCQ&amp;gl=cn" TargetMode="External"/><Relationship Id="rId326" Type="http://schemas.openxmlformats.org/officeDocument/2006/relationships/hyperlink" Target="https://www.google.com.hk/finance?q=SHE%3A002561&amp;client=fss&amp;ei=K7K5V-H6IMGXiALpzI6wCQ&amp;gl=cn" TargetMode="External"/><Relationship Id="rId44" Type="http://schemas.openxmlformats.org/officeDocument/2006/relationships/hyperlink" Target="http://www.cninfo.com.cn/information/dividend/szmb002394.html" TargetMode="External"/><Relationship Id="rId65" Type="http://schemas.openxmlformats.org/officeDocument/2006/relationships/hyperlink" Target="http://www.cninfo.com.cn/information/dividend/szmb000876.html" TargetMode="External"/><Relationship Id="rId86" Type="http://schemas.openxmlformats.org/officeDocument/2006/relationships/hyperlink" Target="http://www.cninfo.com.cn/information/dividend/szmb000027.html" TargetMode="External"/><Relationship Id="rId130" Type="http://schemas.openxmlformats.org/officeDocument/2006/relationships/hyperlink" Target="https://www.google.com.hk/finance?q=SHA%3A600894&amp;client=fss&amp;ei=K7K5V-H6IMGXiALpzI6wCQ&amp;gl=cn" TargetMode="External"/><Relationship Id="rId151" Type="http://schemas.openxmlformats.org/officeDocument/2006/relationships/hyperlink" Target="https://www.google.com.hk/finance?q=SHE%3A000899&amp;client=fss&amp;ei=K7K5V-H6IMGXiALpzI6wCQ&amp;gl=cn" TargetMode="External"/><Relationship Id="rId172" Type="http://schemas.openxmlformats.org/officeDocument/2006/relationships/hyperlink" Target="https://www.google.com.hk/finance?q=SHA%3A601601&amp;client=fss&amp;ei=K7K5V-H6IMGXiALpzI6wCQ&amp;gl=cn" TargetMode="External"/><Relationship Id="rId193" Type="http://schemas.openxmlformats.org/officeDocument/2006/relationships/hyperlink" Target="https://www.google.com.hk/finance?q=SHA%3A600020&amp;client=fss&amp;ei=K7K5V-H6IMGXiALpzI6wCQ&amp;gl=cn" TargetMode="External"/><Relationship Id="rId207" Type="http://schemas.openxmlformats.org/officeDocument/2006/relationships/hyperlink" Target="https://www.google.com.hk/finance?q=SHA%3A601000&amp;client=fss&amp;ei=K7K5V-H6IMGXiALpzI6wCQ&amp;gl=cn" TargetMode="External"/><Relationship Id="rId228" Type="http://schemas.openxmlformats.org/officeDocument/2006/relationships/hyperlink" Target="https://www.google.com.hk/finance?q=SHA%3A601668&amp;client=fss&amp;ei=K7K5V-H6IMGXiALpzI6wCQ&amp;gl=cn" TargetMode="External"/><Relationship Id="rId249" Type="http://schemas.openxmlformats.org/officeDocument/2006/relationships/hyperlink" Target="https://www.google.com.hk/finance?q=SHE%3A000828&amp;client=fss&amp;ei=K7K5V-H6IMGXiALpzI6wCQ&amp;gl=cn" TargetMode="External"/><Relationship Id="rId13" Type="http://schemas.openxmlformats.org/officeDocument/2006/relationships/hyperlink" Target="http://www.cninfo.com.cn/information/dividend/shmb601939.html" TargetMode="External"/><Relationship Id="rId109" Type="http://schemas.openxmlformats.org/officeDocument/2006/relationships/hyperlink" Target="https://www.google.com.hk/finance?q=SHA%3A600011&amp;client=fss&amp;ei=K7K5V-H6IMGXiALpzI6wCQ&amp;gl=cn" TargetMode="External"/><Relationship Id="rId260" Type="http://schemas.openxmlformats.org/officeDocument/2006/relationships/hyperlink" Target="https://www.google.com.hk/finance?q=SHE%3A000027&amp;client=fss&amp;ei=K7K5V-H6IMGXiALpzI6wCQ&amp;gl=cn" TargetMode="External"/><Relationship Id="rId281" Type="http://schemas.openxmlformats.org/officeDocument/2006/relationships/hyperlink" Target="https://www.google.com.hk/finance?q=SHA%3A600170&amp;client=fss&amp;ei=K7K5V-H6IMGXiALpzI6wCQ&amp;gl=cn" TargetMode="External"/><Relationship Id="rId316" Type="http://schemas.openxmlformats.org/officeDocument/2006/relationships/hyperlink" Target="https://www.google.com.hk/finance?q=SHE%3A002304&amp;client=fss&amp;ei=K7K5V-H6IMGXiALpzI6wCQ&amp;gl=cn" TargetMode="External"/><Relationship Id="rId337" Type="http://schemas.openxmlformats.org/officeDocument/2006/relationships/hyperlink" Target="https://www.google.com.hk/finance?q=SHA%3A601688&amp;client=fss&amp;ei=K7K5V-H6IMGXiALpzI6wCQ&amp;gl=cn" TargetMode="External"/><Relationship Id="rId34" Type="http://schemas.openxmlformats.org/officeDocument/2006/relationships/hyperlink" Target="http://www.cninfo.com.cn/information/dividend/szmb002419.html" TargetMode="External"/><Relationship Id="rId55" Type="http://schemas.openxmlformats.org/officeDocument/2006/relationships/hyperlink" Target="http://www.cninfo.com.cn/information/dividend/szmb002242.html" TargetMode="External"/><Relationship Id="rId76" Type="http://schemas.openxmlformats.org/officeDocument/2006/relationships/hyperlink" Target="http://www.cninfo.com.cn/information/dividend/shmb600030.html" TargetMode="External"/><Relationship Id="rId97" Type="http://schemas.openxmlformats.org/officeDocument/2006/relationships/hyperlink" Target="http://www.cninfo.com.cn/information/dividend/shmb600398.html" TargetMode="External"/><Relationship Id="rId120" Type="http://schemas.openxmlformats.org/officeDocument/2006/relationships/hyperlink" Target="https://www.google.com.hk/finance?q=SHA%3A601939&amp;client=fss&amp;ei=K7K5V-H6IMGXiALpzI6wCQ&amp;gl=cn" TargetMode="External"/><Relationship Id="rId141" Type="http://schemas.openxmlformats.org/officeDocument/2006/relationships/hyperlink" Target="https://www.google.com.hk/finance?q=SHA%3A600361&amp;client=fss&amp;ei=K7K5V-H6IMGXiALpzI6wCQ&amp;gl=cn" TargetMode="External"/><Relationship Id="rId7" Type="http://schemas.openxmlformats.org/officeDocument/2006/relationships/hyperlink" Target="http://www.cninfo.com.cn/information/dividend/shmb600011.html" TargetMode="External"/><Relationship Id="rId162" Type="http://schemas.openxmlformats.org/officeDocument/2006/relationships/hyperlink" Target="https://www.google.com.hk/finance?q=SHA%3A600236&amp;client=fss&amp;ei=K7K5V-H6IMGXiALpzI6wCQ&amp;gl=cn" TargetMode="External"/><Relationship Id="rId183" Type="http://schemas.openxmlformats.org/officeDocument/2006/relationships/hyperlink" Target="https://www.google.com.hk/finance?q=SHA%3A603001&amp;client=fss&amp;ei=K7K5V-H6IMGXiALpzI6wCQ&amp;gl=cn" TargetMode="External"/><Relationship Id="rId218" Type="http://schemas.openxmlformats.org/officeDocument/2006/relationships/hyperlink" Target="https://www.google.com.hk/finance?q=SHA%3A601211&amp;client=fss&amp;ei=K7K5V-H6IMGXiALpzI6wCQ&amp;gl=cn" TargetMode="External"/><Relationship Id="rId239" Type="http://schemas.openxmlformats.org/officeDocument/2006/relationships/hyperlink" Target="https://www.google.com.hk/finance?q=SHA%3A600030&amp;client=fss&amp;ei=K7K5V-H6IMGXiALpzI6wCQ&amp;gl=cn" TargetMode="External"/><Relationship Id="rId250" Type="http://schemas.openxmlformats.org/officeDocument/2006/relationships/hyperlink" Target="https://www.google.com.hk/finance?q=SHE%3A000828&amp;client=fss&amp;ei=K7K5V-H6IMGXiALpzI6wCQ&amp;gl=cn" TargetMode="External"/><Relationship Id="rId271" Type="http://schemas.openxmlformats.org/officeDocument/2006/relationships/hyperlink" Target="https://www.google.com.hk/finance?q=SHE%3A000540&amp;client=fss&amp;ei=K7K5V-H6IMGXiALpzI6wCQ&amp;gl=cn" TargetMode="External"/><Relationship Id="rId292" Type="http://schemas.openxmlformats.org/officeDocument/2006/relationships/hyperlink" Target="https://www.google.com.hk/finance?q=SHA%3A600509&amp;client=fss&amp;ei=K7K5V-H6IMGXiALpzI6wCQ&amp;gl=cn" TargetMode="External"/><Relationship Id="rId306" Type="http://schemas.openxmlformats.org/officeDocument/2006/relationships/hyperlink" Target="https://www.google.com.hk/finance?q=SHA%3A603188&amp;client=fss&amp;ei=K7K5V-H6IMGXiALpzI6wCQ&amp;gl=cn" TargetMode="External"/><Relationship Id="rId24" Type="http://schemas.openxmlformats.org/officeDocument/2006/relationships/hyperlink" Target="http://www.cninfo.com.cn/information/dividend/shmb600578.html" TargetMode="External"/><Relationship Id="rId45" Type="http://schemas.openxmlformats.org/officeDocument/2006/relationships/hyperlink" Target="http://www.cninfo.com.cn/information/dividend/shmb600036.html" TargetMode="External"/><Relationship Id="rId66" Type="http://schemas.openxmlformats.org/officeDocument/2006/relationships/hyperlink" Target="http://www.cninfo.com.cn/information/dividend/szmb002003.html" TargetMode="External"/><Relationship Id="rId87" Type="http://schemas.openxmlformats.org/officeDocument/2006/relationships/hyperlink" Target="http://www.cninfo.com.cn/information/dividend/shmb600350.html" TargetMode="External"/><Relationship Id="rId110" Type="http://schemas.openxmlformats.org/officeDocument/2006/relationships/hyperlink" Target="https://www.google.com.hk/finance?q=SHA%3A600011&amp;client=fss&amp;ei=K7K5V-H6IMGXiALpzI6wCQ&amp;gl=cn" TargetMode="External"/><Relationship Id="rId131" Type="http://schemas.openxmlformats.org/officeDocument/2006/relationships/hyperlink" Target="https://www.google.com.hk/finance?q=SHA%3A600741&amp;client=fss&amp;ei=K7K5V-H6IMGXiALpzI6wCQ&amp;gl=cn" TargetMode="External"/><Relationship Id="rId327" Type="http://schemas.openxmlformats.org/officeDocument/2006/relationships/hyperlink" Target="https://www.google.com.hk/finance?q=SHA%3A600369&amp;client=fss&amp;ei=K7K5V-H6IMGXiALpzI6wCQ&amp;gl=cn" TargetMode="External"/><Relationship Id="rId152" Type="http://schemas.openxmlformats.org/officeDocument/2006/relationships/hyperlink" Target="https://www.google.com.hk/finance?q=SHE%3A000899&amp;client=fss&amp;ei=K7K5V-H6IMGXiALpzI6wCQ&amp;gl=cn" TargetMode="External"/><Relationship Id="rId173" Type="http://schemas.openxmlformats.org/officeDocument/2006/relationships/hyperlink" Target="https://www.google.com.hk/finance?q=SHE%3A002394&amp;client=fss&amp;ei=K7K5V-H6IMGXiALpzI6wCQ&amp;gl=cn" TargetMode="External"/><Relationship Id="rId194" Type="http://schemas.openxmlformats.org/officeDocument/2006/relationships/hyperlink" Target="https://www.google.com.hk/finance?q=SHA%3A600020&amp;client=fss&amp;ei=K7K5V-H6IMGXiALpzI6wCQ&amp;gl=cn" TargetMode="External"/><Relationship Id="rId208" Type="http://schemas.openxmlformats.org/officeDocument/2006/relationships/hyperlink" Target="https://www.google.com.hk/finance?q=SHA%3A601000&amp;client=fss&amp;ei=K7K5V-H6IMGXiALpzI6wCQ&amp;gl=cn" TargetMode="External"/><Relationship Id="rId229" Type="http://schemas.openxmlformats.org/officeDocument/2006/relationships/hyperlink" Target="https://www.google.com.hk/finance?q=SHA%3A600269&amp;client=fss&amp;ei=K7K5V-H6IMGXiALpzI6wCQ&amp;gl=cn" TargetMode="External"/><Relationship Id="rId240" Type="http://schemas.openxmlformats.org/officeDocument/2006/relationships/hyperlink" Target="https://www.google.com.hk/finance?q=SHA%3A600030&amp;client=fss&amp;ei=K7K5V-H6IMGXiALpzI6wCQ&amp;gl=cn" TargetMode="External"/><Relationship Id="rId261" Type="http://schemas.openxmlformats.org/officeDocument/2006/relationships/hyperlink" Target="https://www.google.com.hk/finance?q=SHA%3A600000&amp;client=fss&amp;ei=K7K5V-H6IMGXiALpzI6wCQ&amp;gl=cn" TargetMode="External"/><Relationship Id="rId14" Type="http://schemas.openxmlformats.org/officeDocument/2006/relationships/hyperlink" Target="http://www.cninfo.com.cn/information/dividend/shmb600182.html" TargetMode="External"/><Relationship Id="rId35" Type="http://schemas.openxmlformats.org/officeDocument/2006/relationships/hyperlink" Target="http://www.cninfo.com.cn/information/dividend/shmb600741.html" TargetMode="External"/><Relationship Id="rId56" Type="http://schemas.openxmlformats.org/officeDocument/2006/relationships/hyperlink" Target="http://www.cninfo.com.cn/information/dividend/szmb002736.html" TargetMode="External"/><Relationship Id="rId77" Type="http://schemas.openxmlformats.org/officeDocument/2006/relationships/hyperlink" Target="http://www.cninfo.com.cn/information/dividend/shmb601566.html" TargetMode="External"/><Relationship Id="rId100" Type="http://schemas.openxmlformats.org/officeDocument/2006/relationships/hyperlink" Target="http://www.cninfo.com.cn/information/dividend/szmb002146.html" TargetMode="External"/><Relationship Id="rId282" Type="http://schemas.openxmlformats.org/officeDocument/2006/relationships/hyperlink" Target="https://www.google.com.hk/finance?q=SHA%3A600170&amp;client=fss&amp;ei=K7K5V-H6IMGXiALpzI6wCQ&amp;gl=cn" TargetMode="External"/><Relationship Id="rId317" Type="http://schemas.openxmlformats.org/officeDocument/2006/relationships/hyperlink" Target="https://www.google.com.hk/finance?q=SHA%3A600016&amp;client=fss&amp;ei=K7K5V-H6IMGXiALpzI6wCQ&amp;gl=cn" TargetMode="External"/><Relationship Id="rId338" Type="http://schemas.openxmlformats.org/officeDocument/2006/relationships/hyperlink" Target="https://www.google.com.hk/finance?q=SHA%3A601688&amp;client=fss&amp;ei=K7K5V-H6IMGXiALpzI6wCQ&amp;gl=cn" TargetMode="External"/><Relationship Id="rId8" Type="http://schemas.openxmlformats.org/officeDocument/2006/relationships/hyperlink" Target="http://www.cninfo.com.cn/information/dividend/szmb002545.html" TargetMode="External"/><Relationship Id="rId98" Type="http://schemas.openxmlformats.org/officeDocument/2006/relationships/hyperlink" Target="http://www.cninfo.com.cn/information/dividend/shmb601369.html" TargetMode="External"/><Relationship Id="rId121" Type="http://schemas.openxmlformats.org/officeDocument/2006/relationships/hyperlink" Target="https://www.google.com.hk/finance?q=SHA%3A600177&amp;client=fss&amp;ei=K7K5V-H6IMGXiALpzI6wCQ&amp;gl=cn" TargetMode="External"/><Relationship Id="rId142" Type="http://schemas.openxmlformats.org/officeDocument/2006/relationships/hyperlink" Target="https://www.google.com.hk/finance?q=SHA%3A600361&amp;client=fss&amp;ei=K7K5V-H6IMGXiALpzI6wCQ&amp;gl=cn" TargetMode="External"/><Relationship Id="rId163" Type="http://schemas.openxmlformats.org/officeDocument/2006/relationships/hyperlink" Target="https://www.google.com.hk/finance?q=SHE%3A200022&amp;client=fss&amp;ei=K7K5V-H6IMGXiALpzI6wCQ&amp;gl=cn" TargetMode="External"/><Relationship Id="rId184" Type="http://schemas.openxmlformats.org/officeDocument/2006/relationships/hyperlink" Target="https://www.google.com.hk/finance?q=SHA%3A603001&amp;client=fss&amp;ei=K7K5V-H6IMGXiALpzI6wCQ&amp;gl=cn" TargetMode="External"/><Relationship Id="rId219" Type="http://schemas.openxmlformats.org/officeDocument/2006/relationships/hyperlink" Target="https://www.google.com.hk/finance?q=SHA%3A600583&amp;client=fss&amp;ei=K7K5V-H6IMGXiALpzI6wCQ&amp;gl=cn" TargetMode="External"/><Relationship Id="rId3" Type="http://schemas.openxmlformats.org/officeDocument/2006/relationships/hyperlink" Target="http://www.cninfo.com.cn/information/dividend/shmb600252.html" TargetMode="External"/><Relationship Id="rId214" Type="http://schemas.openxmlformats.org/officeDocument/2006/relationships/hyperlink" Target="https://www.google.com.hk/finance?q=SHA%3A601998&amp;client=fss&amp;ei=K7K5V-H6IMGXiALpzI6wCQ&amp;gl=cn" TargetMode="External"/><Relationship Id="rId230" Type="http://schemas.openxmlformats.org/officeDocument/2006/relationships/hyperlink" Target="https://www.google.com.hk/finance?q=SHA%3A600269&amp;client=fss&amp;ei=K7K5V-H6IMGXiALpzI6wCQ&amp;gl=cn" TargetMode="External"/><Relationship Id="rId235" Type="http://schemas.openxmlformats.org/officeDocument/2006/relationships/hyperlink" Target="https://www.google.com.hk/finance?q=SHA%3A600023&amp;client=fss&amp;ei=K7K5V-H6IMGXiALpzI6wCQ&amp;gl=cn" TargetMode="External"/><Relationship Id="rId251" Type="http://schemas.openxmlformats.org/officeDocument/2006/relationships/hyperlink" Target="https://www.google.com.hk/finance?q=SHE%3A000402&amp;client=fss&amp;ei=K7K5V-H6IMGXiALpzI6wCQ&amp;gl=cn" TargetMode="External"/><Relationship Id="rId256" Type="http://schemas.openxmlformats.org/officeDocument/2006/relationships/hyperlink" Target="https://www.google.com.hk/finance?q=SHE%3A000333&amp;client=fss&amp;ei=K7K5V-H6IMGXiALpzI6wCQ&amp;gl=cn" TargetMode="External"/><Relationship Id="rId277" Type="http://schemas.openxmlformats.org/officeDocument/2006/relationships/hyperlink" Target="https://www.google.com.hk/finance?q=SHE%3A002142&amp;client=fss&amp;ei=K7K5V-H6IMGXiALpzI6wCQ&amp;gl=cn" TargetMode="External"/><Relationship Id="rId298" Type="http://schemas.openxmlformats.org/officeDocument/2006/relationships/hyperlink" Target="https://www.google.com.hk/finance?q=SHA%3A600958&amp;client=fss&amp;ei=K7K5V-H6IMGXiALpzI6wCQ&amp;gl=cn" TargetMode="External"/><Relationship Id="rId25" Type="http://schemas.openxmlformats.org/officeDocument/2006/relationships/hyperlink" Target="http://www.cninfo.com.cn/information/dividend/shmb600361.html" TargetMode="External"/><Relationship Id="rId46" Type="http://schemas.openxmlformats.org/officeDocument/2006/relationships/hyperlink" Target="http://www.cninfo.com.cn/information/dividend/szmb000543.html" TargetMode="External"/><Relationship Id="rId67" Type="http://schemas.openxmlformats.org/officeDocument/2006/relationships/hyperlink" Target="http://www.cninfo.com.cn/information/dividend/shmb601998.html" TargetMode="External"/><Relationship Id="rId116" Type="http://schemas.openxmlformats.org/officeDocument/2006/relationships/hyperlink" Target="https://www.google.com.hk/finance?q=SHA%3A601398&amp;client=fss&amp;ei=K7K5V-H6IMGXiALpzI6wCQ&amp;gl=cn" TargetMode="External"/><Relationship Id="rId137" Type="http://schemas.openxmlformats.org/officeDocument/2006/relationships/hyperlink" Target="https://www.google.com.hk/finance?q=SHA%3A601328&amp;client=fss&amp;ei=K7K5V-H6IMGXiALpzI6wCQ&amp;gl=cn" TargetMode="External"/><Relationship Id="rId158" Type="http://schemas.openxmlformats.org/officeDocument/2006/relationships/hyperlink" Target="https://www.google.com.hk/finance?q=SHA%3A601991&amp;client=fss&amp;ei=K7K5V-H6IMGXiALpzI6wCQ&amp;gl=cn" TargetMode="External"/><Relationship Id="rId272" Type="http://schemas.openxmlformats.org/officeDocument/2006/relationships/hyperlink" Target="https://www.google.com.hk/finance?q=SHE%3A000540&amp;client=fss&amp;ei=K7K5V-H6IMGXiALpzI6wCQ&amp;gl=cn" TargetMode="External"/><Relationship Id="rId293" Type="http://schemas.openxmlformats.org/officeDocument/2006/relationships/hyperlink" Target="https://www.google.com.hk/finance?q=SHA%3A600598&amp;client=fss&amp;ei=K7K5V-H6IMGXiALpzI6wCQ&amp;gl=cn" TargetMode="External"/><Relationship Id="rId302" Type="http://schemas.openxmlformats.org/officeDocument/2006/relationships/hyperlink" Target="https://www.google.com.hk/finance?q=SHA%3A601633&amp;client=fss&amp;ei=K7K5V-H6IMGXiALpzI6wCQ&amp;gl=cn" TargetMode="External"/><Relationship Id="rId307" Type="http://schemas.openxmlformats.org/officeDocument/2006/relationships/hyperlink" Target="https://www.google.com.hk/finance?q=SHE%3A000568&amp;client=fss&amp;ei=K7K5V-H6IMGXiALpzI6wCQ&amp;gl=cn" TargetMode="External"/><Relationship Id="rId323" Type="http://schemas.openxmlformats.org/officeDocument/2006/relationships/hyperlink" Target="https://www.google.com.hk/finance?q=SHE%3A002206&amp;client=fss&amp;ei=K7K5V-H6IMGXiALpzI6wCQ&amp;gl=cn" TargetMode="External"/><Relationship Id="rId328" Type="http://schemas.openxmlformats.org/officeDocument/2006/relationships/hyperlink" Target="https://www.google.com.hk/finance?q=SHA%3A600369&amp;client=fss&amp;ei=K7K5V-H6IMGXiALpzI6wCQ&amp;gl=cn" TargetMode="External"/><Relationship Id="rId20" Type="http://schemas.openxmlformats.org/officeDocument/2006/relationships/hyperlink" Target="http://www.cninfo.com.cn/information/dividend/shmb600023.html" TargetMode="External"/><Relationship Id="rId41" Type="http://schemas.openxmlformats.org/officeDocument/2006/relationships/hyperlink" Target="http://www.cninfo.com.cn/information/dividend/shmb600859.html" TargetMode="External"/><Relationship Id="rId62" Type="http://schemas.openxmlformats.org/officeDocument/2006/relationships/hyperlink" Target="http://www.cninfo.com.cn/information/dividend/shmb600642.html" TargetMode="External"/><Relationship Id="rId83" Type="http://schemas.openxmlformats.org/officeDocument/2006/relationships/hyperlink" Target="http://www.cninfo.com.cn/information/dividend/szmb000333.html" TargetMode="External"/><Relationship Id="rId88" Type="http://schemas.openxmlformats.org/officeDocument/2006/relationships/hyperlink" Target="http://www.cninfo.com.cn/information/dividend/shmb600837.html" TargetMode="External"/><Relationship Id="rId111" Type="http://schemas.openxmlformats.org/officeDocument/2006/relationships/hyperlink" Target="https://www.google.com.hk/finance?q=SHA%3A600104&amp;client=fss&amp;ei=K7K5V-H6IMGXiALpzI6wCQ&amp;gl=cn" TargetMode="External"/><Relationship Id="rId132" Type="http://schemas.openxmlformats.org/officeDocument/2006/relationships/hyperlink" Target="https://www.google.com.hk/finance?q=SHA%3A600741&amp;client=fss&amp;ei=K7K5V-H6IMGXiALpzI6wCQ&amp;gl=cn" TargetMode="External"/><Relationship Id="rId153" Type="http://schemas.openxmlformats.org/officeDocument/2006/relationships/hyperlink" Target="https://www.google.com.hk/finance?q=SHA%3A600999&amp;client=fss&amp;ei=K7K5V-H6IMGXiALpzI6wCQ&amp;gl=cn" TargetMode="External"/><Relationship Id="rId174" Type="http://schemas.openxmlformats.org/officeDocument/2006/relationships/hyperlink" Target="https://www.google.com.hk/finance?q=SHE%3A002394&amp;client=fss&amp;ei=K7K5V-H6IMGXiALpzI6wCQ&amp;gl=cn" TargetMode="External"/><Relationship Id="rId179" Type="http://schemas.openxmlformats.org/officeDocument/2006/relationships/hyperlink" Target="https://www.google.com.hk/finance?q=SHA%3A601877&amp;client=fss&amp;ei=K7K5V-H6IMGXiALpzI6wCQ&amp;gl=cn" TargetMode="External"/><Relationship Id="rId195" Type="http://schemas.openxmlformats.org/officeDocument/2006/relationships/hyperlink" Target="https://www.google.com.hk/finance?q=SHA%3A601158&amp;client=fss&amp;ei=K7K5V-H6IMGXiALpzI6wCQ&amp;gl=cn" TargetMode="External"/><Relationship Id="rId209" Type="http://schemas.openxmlformats.org/officeDocument/2006/relationships/hyperlink" Target="https://www.google.com.hk/finance?q=SHA%3A600383&amp;client=fss&amp;ei=K7K5V-H6IMGXiALpzI6wCQ&amp;gl=cn" TargetMode="External"/><Relationship Id="rId190" Type="http://schemas.openxmlformats.org/officeDocument/2006/relationships/hyperlink" Target="https://www.google.com.hk/finance?q=SHE%3A000525&amp;client=fss&amp;ei=K7K5V-H6IMGXiALpzI6wCQ&amp;gl=cn" TargetMode="External"/><Relationship Id="rId204" Type="http://schemas.openxmlformats.org/officeDocument/2006/relationships/hyperlink" Target="https://www.google.com.hk/finance?q=SHA%3A600315&amp;client=fss&amp;ei=K7K5V-H6IMGXiALpzI6wCQ&amp;gl=cn" TargetMode="External"/><Relationship Id="rId220" Type="http://schemas.openxmlformats.org/officeDocument/2006/relationships/hyperlink" Target="https://www.google.com.hk/finance?q=SHA%3A600583&amp;client=fss&amp;ei=K7K5V-H6IMGXiALpzI6wCQ&amp;gl=cn" TargetMode="External"/><Relationship Id="rId225" Type="http://schemas.openxmlformats.org/officeDocument/2006/relationships/hyperlink" Target="https://www.google.com.hk/finance?q=SHE%3A000783&amp;client=fss&amp;ei=K7K5V-H6IMGXiALpzI6wCQ&amp;gl=cn" TargetMode="External"/><Relationship Id="rId241" Type="http://schemas.openxmlformats.org/officeDocument/2006/relationships/hyperlink" Target="https://www.google.com.hk/finance?q=SHA%3A601566&amp;client=fss&amp;ei=K7K5V-H6IMGXiALpzI6wCQ&amp;gl=cn" TargetMode="External"/><Relationship Id="rId246" Type="http://schemas.openxmlformats.org/officeDocument/2006/relationships/hyperlink" Target="https://www.google.com.hk/finance?q=SHE%3A000002&amp;client=fss&amp;ei=K7K5V-H6IMGXiALpzI6wCQ&amp;gl=cn" TargetMode="External"/><Relationship Id="rId267" Type="http://schemas.openxmlformats.org/officeDocument/2006/relationships/hyperlink" Target="https://www.google.com.hk/finance?q=SHE%3A002498&amp;client=fss&amp;ei=K7K5V-H6IMGXiALpzI6wCQ&amp;gl=cn" TargetMode="External"/><Relationship Id="rId288" Type="http://schemas.openxmlformats.org/officeDocument/2006/relationships/hyperlink" Target="https://www.google.com.hk/finance?q=SHE%3A000685&amp;client=fss&amp;ei=K7K5V-H6IMGXiALpzI6wCQ&amp;gl=cn" TargetMode="External"/><Relationship Id="rId15" Type="http://schemas.openxmlformats.org/officeDocument/2006/relationships/hyperlink" Target="http://www.cninfo.com.cn/information/dividend/szmb000568.html" TargetMode="External"/><Relationship Id="rId36" Type="http://schemas.openxmlformats.org/officeDocument/2006/relationships/hyperlink" Target="http://www.cninfo.com.cn/information/dividend/szmb000625.html" TargetMode="External"/><Relationship Id="rId57" Type="http://schemas.openxmlformats.org/officeDocument/2006/relationships/hyperlink" Target="http://www.cninfo.com.cn/information/dividend/shmb600315.html" TargetMode="External"/><Relationship Id="rId106" Type="http://schemas.openxmlformats.org/officeDocument/2006/relationships/hyperlink" Target="https://www.google.com.hk/finance?q=SHA%3A600066&amp;client=fss&amp;ei=K7K5V-H6IMGXiALpzI6wCQ&amp;gl=cn" TargetMode="External"/><Relationship Id="rId127" Type="http://schemas.openxmlformats.org/officeDocument/2006/relationships/hyperlink" Target="https://www.google.com.hk/finance?q=SHE%3A000895&amp;client=fss&amp;ei=K7K5V-H6IMGXiALpzI6wCQ&amp;gl=cn" TargetMode="External"/><Relationship Id="rId262" Type="http://schemas.openxmlformats.org/officeDocument/2006/relationships/hyperlink" Target="https://www.google.com.hk/finance?q=SHA%3A600000&amp;client=fss&amp;ei=K7K5V-H6IMGXiALpzI6wCQ&amp;gl=cn" TargetMode="External"/><Relationship Id="rId283" Type="http://schemas.openxmlformats.org/officeDocument/2006/relationships/hyperlink" Target="https://www.google.com.hk/finance?q=SHA%3A600398&amp;client=fss&amp;ei=K7K5V-H6IMGXiALpzI6wCQ&amp;gl=cn" TargetMode="External"/><Relationship Id="rId313" Type="http://schemas.openxmlformats.org/officeDocument/2006/relationships/hyperlink" Target="https://www.google.com.hk/finance?q=SHE%3A002275&amp;client=fss&amp;ei=K7K5V-H6IMGXiALpzI6wCQ&amp;gl=cn" TargetMode="External"/><Relationship Id="rId318" Type="http://schemas.openxmlformats.org/officeDocument/2006/relationships/hyperlink" Target="https://www.google.com.hk/finance?q=SHA%3A600016&amp;client=fss&amp;ei=K7K5V-H6IMGXiALpzI6wCQ&amp;gl=cn" TargetMode="External"/><Relationship Id="rId339" Type="http://schemas.openxmlformats.org/officeDocument/2006/relationships/hyperlink" Target="https://www.google.com.hk/finance?q=SHA%3A601678&amp;client=fss&amp;ei=K7K5V-H6IMGXiALpzI6wCQ&amp;gl=cn" TargetMode="External"/><Relationship Id="rId10" Type="http://schemas.openxmlformats.org/officeDocument/2006/relationships/hyperlink" Target="http://www.cninfo.com.cn/information/dividend/shmb600027.html" TargetMode="External"/><Relationship Id="rId31" Type="http://schemas.openxmlformats.org/officeDocument/2006/relationships/hyperlink" Target="http://www.cninfo.com.cn/information/dividend/szmb000726.html" TargetMode="External"/><Relationship Id="rId52" Type="http://schemas.openxmlformats.org/officeDocument/2006/relationships/hyperlink" Target="http://www.cninfo.com.cn/information/dividend/shmb600015.html" TargetMode="External"/><Relationship Id="rId73" Type="http://schemas.openxmlformats.org/officeDocument/2006/relationships/hyperlink" Target="http://www.cninfo.com.cn/information/dividend/shmb600310.html" TargetMode="External"/><Relationship Id="rId78" Type="http://schemas.openxmlformats.org/officeDocument/2006/relationships/hyperlink" Target="http://www.cninfo.com.cn/information/dividend/shmb600033.html" TargetMode="External"/><Relationship Id="rId94" Type="http://schemas.openxmlformats.org/officeDocument/2006/relationships/hyperlink" Target="http://www.cninfo.com.cn/information/dividend/szmb002142.html" TargetMode="External"/><Relationship Id="rId99" Type="http://schemas.openxmlformats.org/officeDocument/2006/relationships/hyperlink" Target="http://www.cninfo.com.cn/information/dividend/shmb600000.html" TargetMode="External"/><Relationship Id="rId101" Type="http://schemas.openxmlformats.org/officeDocument/2006/relationships/hyperlink" Target="https://www.google.com.hk/finance?q=SHE%3A000651&amp;client=fss&amp;ei=K7K5V-H6IMGXiALpzI6wCQ&amp;gl=cn" TargetMode="External"/><Relationship Id="rId122" Type="http://schemas.openxmlformats.org/officeDocument/2006/relationships/hyperlink" Target="https://www.google.com.hk/finance?q=SHA%3A600177&amp;client=fss&amp;ei=K7K5V-H6IMGXiALpzI6wCQ&amp;gl=cn" TargetMode="External"/><Relationship Id="rId143" Type="http://schemas.openxmlformats.org/officeDocument/2006/relationships/hyperlink" Target="https://www.google.com.hk/finance?q=SHE%3A000776&amp;client=fss&amp;ei=K7K5V-H6IMGXiALpzI6wCQ&amp;gl=cn" TargetMode="External"/><Relationship Id="rId148" Type="http://schemas.openxmlformats.org/officeDocument/2006/relationships/hyperlink" Target="https://www.google.com.hk/finance?q=SHA%3A600660&amp;client=fss&amp;ei=K7K5V-H6IMGXiALpzI6wCQ&amp;gl=cn" TargetMode="External"/><Relationship Id="rId164" Type="http://schemas.openxmlformats.org/officeDocument/2006/relationships/hyperlink" Target="https://www.google.com.hk/finance?q=SHE%3A200022&amp;client=fss&amp;ei=K7K5V-H6IMGXiALpzI6wCQ&amp;gl=cn" TargetMode="External"/><Relationship Id="rId169" Type="http://schemas.openxmlformats.org/officeDocument/2006/relationships/hyperlink" Target="https://www.google.com.hk/finance?q=SHA%3A600859&amp;client=fss&amp;ei=K7K5V-H6IMGXiALpzI6wCQ&amp;gl=cn" TargetMode="External"/><Relationship Id="rId185" Type="http://schemas.openxmlformats.org/officeDocument/2006/relationships/hyperlink" Target="https://www.google.com.hk/finance?q=SHE%3A001696&amp;client=fss&amp;ei=K7K5V-H6IMGXiALpzI6wCQ&amp;gl=cn" TargetMode="External"/><Relationship Id="rId334" Type="http://schemas.openxmlformats.org/officeDocument/2006/relationships/hyperlink" Target="https://www.google.com.hk/finance?q=SHE%3A000690&amp;client=fss&amp;ei=K7K5V-H6IMGXiALpzI6wCQ&amp;gl=cn" TargetMode="External"/><Relationship Id="rId4" Type="http://schemas.openxmlformats.org/officeDocument/2006/relationships/hyperlink" Target="http://www.cninfo.com.cn/information/dividend/shmb601006.html" TargetMode="External"/><Relationship Id="rId9" Type="http://schemas.openxmlformats.org/officeDocument/2006/relationships/hyperlink" Target="http://www.cninfo.com.cn/information/dividend/shmb600104.html" TargetMode="External"/><Relationship Id="rId180" Type="http://schemas.openxmlformats.org/officeDocument/2006/relationships/hyperlink" Target="https://www.google.com.hk/finance?q=SHA%3A601877&amp;client=fss&amp;ei=K7K5V-H6IMGXiALpzI6wCQ&amp;gl=cn" TargetMode="External"/><Relationship Id="rId210" Type="http://schemas.openxmlformats.org/officeDocument/2006/relationships/hyperlink" Target="https://www.google.com.hk/finance?q=SHA%3A600383&amp;client=fss&amp;ei=K7K5V-H6IMGXiALpzI6wCQ&amp;gl=cn" TargetMode="External"/><Relationship Id="rId215" Type="http://schemas.openxmlformats.org/officeDocument/2006/relationships/hyperlink" Target="https://www.google.com.hk/finance?q=SHA%3A600642&amp;client=fss&amp;ei=K7K5V-H6IMGXiALpzI6wCQ&amp;gl=cn" TargetMode="External"/><Relationship Id="rId236" Type="http://schemas.openxmlformats.org/officeDocument/2006/relationships/hyperlink" Target="https://www.google.com.hk/finance?q=SHA%3A600023&amp;client=fss&amp;ei=K7K5V-H6IMGXiALpzI6wCQ&amp;gl=cn" TargetMode="External"/><Relationship Id="rId257" Type="http://schemas.openxmlformats.org/officeDocument/2006/relationships/hyperlink" Target="https://www.google.com.hk/finance?q=SHA%3A600674&amp;client=fss&amp;ei=K7K5V-H6IMGXiALpzI6wCQ&amp;gl=cn" TargetMode="External"/><Relationship Id="rId278" Type="http://schemas.openxmlformats.org/officeDocument/2006/relationships/hyperlink" Target="https://www.google.com.hk/finance?q=SHE%3A002142&amp;client=fss&amp;ei=K7K5V-H6IMGXiALpzI6wCQ&amp;gl=cn" TargetMode="External"/><Relationship Id="rId26" Type="http://schemas.openxmlformats.org/officeDocument/2006/relationships/hyperlink" Target="http://www.cninfo.com.cn/information/dividend/shmb600177.html" TargetMode="External"/><Relationship Id="rId231" Type="http://schemas.openxmlformats.org/officeDocument/2006/relationships/hyperlink" Target="https://www.google.com.hk/finance?q=SHE%3A002083&amp;client=fss&amp;ei=K7K5V-H6IMGXiALpzI6wCQ&amp;gl=cn" TargetMode="External"/><Relationship Id="rId252" Type="http://schemas.openxmlformats.org/officeDocument/2006/relationships/hyperlink" Target="https://www.google.com.hk/finance?q=SHE%3A000402&amp;client=fss&amp;ei=K7K5V-H6IMGXiALpzI6wCQ&amp;gl=cn" TargetMode="External"/><Relationship Id="rId273" Type="http://schemas.openxmlformats.org/officeDocument/2006/relationships/hyperlink" Target="https://www.google.com.hk/finance?q=SHA%3A601766&amp;client=fss&amp;ei=K7K5V-H6IMGXiALpzI6wCQ&amp;gl=cn" TargetMode="External"/><Relationship Id="rId294" Type="http://schemas.openxmlformats.org/officeDocument/2006/relationships/hyperlink" Target="https://www.google.com.hk/finance?q=SHA%3A600598&amp;client=fss&amp;ei=K7K5V-H6IMGXiALpzI6wCQ&amp;gl=cn" TargetMode="External"/><Relationship Id="rId308" Type="http://schemas.openxmlformats.org/officeDocument/2006/relationships/hyperlink" Target="https://www.google.com.hk/finance?q=SHE%3A000568&amp;client=fss&amp;ei=K7K5V-H6IMGXiALpzI6wCQ&amp;gl=cn" TargetMode="External"/><Relationship Id="rId329" Type="http://schemas.openxmlformats.org/officeDocument/2006/relationships/hyperlink" Target="https://www.google.com.hk/finance?q=SHA%3A600563&amp;client=fss&amp;ei=K7K5V-H6IMGXiALpzI6wCQ&amp;gl=cn" TargetMode="External"/><Relationship Id="rId47" Type="http://schemas.openxmlformats.org/officeDocument/2006/relationships/hyperlink" Target="http://www.cninfo.com.cn/information/dividend/shmb601877.html" TargetMode="External"/><Relationship Id="rId68" Type="http://schemas.openxmlformats.org/officeDocument/2006/relationships/hyperlink" Target="http://www.cninfo.com.cn/information/dividend/shmb600048.html" TargetMode="External"/><Relationship Id="rId89" Type="http://schemas.openxmlformats.org/officeDocument/2006/relationships/hyperlink" Target="http://www.cninfo.com.cn/information/dividend/szmb000899.html" TargetMode="External"/><Relationship Id="rId112" Type="http://schemas.openxmlformats.org/officeDocument/2006/relationships/hyperlink" Target="https://www.google.com.hk/finance?q=SHA%3A600104&amp;client=fss&amp;ei=K7K5V-H6IMGXiALpzI6wCQ&amp;gl=cn" TargetMode="External"/><Relationship Id="rId133" Type="http://schemas.openxmlformats.org/officeDocument/2006/relationships/hyperlink" Target="https://www.google.com.hk/finance?q=SHE%3A000600&amp;client=fss&amp;ei=K7K5V-H6IMGXiALpzI6wCQ&amp;gl=cn" TargetMode="External"/><Relationship Id="rId154" Type="http://schemas.openxmlformats.org/officeDocument/2006/relationships/hyperlink" Target="https://www.google.com.hk/finance?q=SHA%3A600999&amp;client=fss&amp;ei=K7K5V-H6IMGXiALpzI6wCQ&amp;gl=cn" TargetMode="External"/><Relationship Id="rId175" Type="http://schemas.openxmlformats.org/officeDocument/2006/relationships/hyperlink" Target="https://www.google.com.hk/finance?q=SHA%3A600036&amp;client=fss&amp;ei=K7K5V-H6IMGXiALpzI6wCQ&amp;gl=cn" TargetMode="External"/><Relationship Id="rId340" Type="http://schemas.openxmlformats.org/officeDocument/2006/relationships/hyperlink" Target="https://www.google.com.hk/finance?q=SHA%3A601678&amp;client=fss&amp;ei=K7K5V-H6IMGXiALpzI6wCQ&amp;gl=cn" TargetMode="External"/><Relationship Id="rId196" Type="http://schemas.openxmlformats.org/officeDocument/2006/relationships/hyperlink" Target="https://www.google.com.hk/finance?q=SHA%3A601158&amp;client=fss&amp;ei=K7K5V-H6IMGXiALpzI6wCQ&amp;gl=cn" TargetMode="External"/><Relationship Id="rId200" Type="http://schemas.openxmlformats.org/officeDocument/2006/relationships/hyperlink" Target="https://www.google.com.hk/finance?q=SHA%3A601788&amp;client=fss&amp;ei=K7K5V-H6IMGXiALpzI6wCQ&amp;gl=cn" TargetMode="External"/><Relationship Id="rId16" Type="http://schemas.openxmlformats.org/officeDocument/2006/relationships/hyperlink" Target="http://www.cninfo.com.cn/information/dividend/shmb601988.html" TargetMode="External"/><Relationship Id="rId221" Type="http://schemas.openxmlformats.org/officeDocument/2006/relationships/hyperlink" Target="https://www.google.com.hk/finance?q=SHE%3A000876&amp;client=fss&amp;ei=K7K5V-H6IMGXiALpzI6wCQ&amp;gl=cn" TargetMode="External"/><Relationship Id="rId242" Type="http://schemas.openxmlformats.org/officeDocument/2006/relationships/hyperlink" Target="https://www.google.com.hk/finance?q=SHA%3A601566&amp;client=fss&amp;ei=K7K5V-H6IMGXiALpzI6wCQ&amp;gl=cn" TargetMode="External"/><Relationship Id="rId263" Type="http://schemas.openxmlformats.org/officeDocument/2006/relationships/hyperlink" Target="https://www.google.com.hk/finance?q=SHA%3A600350&amp;client=fss&amp;ei=K7K5V-H6IMGXiALpzI6wCQ&amp;gl=cn" TargetMode="External"/><Relationship Id="rId284" Type="http://schemas.openxmlformats.org/officeDocument/2006/relationships/hyperlink" Target="https://www.google.com.hk/finance?q=SHA%3A600398&amp;client=fss&amp;ei=K7K5V-H6IMGXiALpzI6wCQ&amp;gl=cn" TargetMode="External"/><Relationship Id="rId319" Type="http://schemas.openxmlformats.org/officeDocument/2006/relationships/hyperlink" Target="https://www.google.com.hk/finance?q=SHA%3A600887&amp;client=fss&amp;ei=K7K5V-H6IMGXiALpzI6wCQ&amp;gl=cn" TargetMode="External"/><Relationship Id="rId37" Type="http://schemas.openxmlformats.org/officeDocument/2006/relationships/hyperlink" Target="http://www.cninfo.com.cn/information/dividend/shmb600548.html" TargetMode="External"/><Relationship Id="rId58" Type="http://schemas.openxmlformats.org/officeDocument/2006/relationships/hyperlink" Target="http://www.cninfo.com.cn/information/dividend/shmb601000.html" TargetMode="External"/><Relationship Id="rId79" Type="http://schemas.openxmlformats.org/officeDocument/2006/relationships/hyperlink" Target="http://www.cninfo.com.cn/information/dividend/szmb000002.html" TargetMode="External"/><Relationship Id="rId102" Type="http://schemas.openxmlformats.org/officeDocument/2006/relationships/hyperlink" Target="https://www.google.com.hk/finance?q=SHE%3A000651&amp;client=fss&amp;ei=K7K5V-H6IMGXiALpzI6wCQ&amp;gl=cn" TargetMode="External"/><Relationship Id="rId123" Type="http://schemas.openxmlformats.org/officeDocument/2006/relationships/hyperlink" Target="https://www.google.com.hk/finance?q=SHA%3A600182&amp;client=fss&amp;ei=K7K5V-H6IMGXiALpzI6wCQ&amp;gl=cn" TargetMode="External"/><Relationship Id="rId144" Type="http://schemas.openxmlformats.org/officeDocument/2006/relationships/hyperlink" Target="https://www.google.com.hk/finance?q=SHE%3A000776&amp;client=fss&amp;ei=K7K5V-H6IMGXiALpzI6wCQ&amp;gl=cn" TargetMode="External"/><Relationship Id="rId330" Type="http://schemas.openxmlformats.org/officeDocument/2006/relationships/hyperlink" Target="https://www.google.com.hk/finance?q=SHA%3A600563&amp;client=fss&amp;ei=K7K5V-H6IMGXiALpzI6wCQ&amp;gl=cn" TargetMode="External"/><Relationship Id="rId90" Type="http://schemas.openxmlformats.org/officeDocument/2006/relationships/hyperlink" Target="http://www.cninfo.com.cn/information/dividend/szmb002498.html" TargetMode="External"/><Relationship Id="rId165" Type="http://schemas.openxmlformats.org/officeDocument/2006/relationships/hyperlink" Target="https://www.google.com.hk/finance?q=SHA%3A600886&amp;client=fss&amp;ei=K7K5V-H6IMGXiALpzI6wCQ&amp;gl=cn" TargetMode="External"/><Relationship Id="rId186" Type="http://schemas.openxmlformats.org/officeDocument/2006/relationships/hyperlink" Target="https://www.google.com.hk/finance?q=SHE%3A001696&amp;client=fss&amp;ei=K7K5V-H6IMGXiALpzI6wCQ&amp;gl=cn" TargetMode="External"/><Relationship Id="rId211" Type="http://schemas.openxmlformats.org/officeDocument/2006/relationships/hyperlink" Target="https://www.google.com.hk/finance?q=SHA%3A601009&amp;client=fss&amp;ei=K7K5V-H6IMGXiALpzI6wCQ&amp;gl=cn" TargetMode="External"/><Relationship Id="rId232" Type="http://schemas.openxmlformats.org/officeDocument/2006/relationships/hyperlink" Target="https://www.google.com.hk/finance?q=SHE%3A002083&amp;client=fss&amp;ei=K7K5V-H6IMGXiALpzI6wCQ&amp;gl=cn" TargetMode="External"/><Relationship Id="rId253" Type="http://schemas.openxmlformats.org/officeDocument/2006/relationships/hyperlink" Target="https://www.google.com.hk/finance?q=SHA%3A600900&amp;client=fss&amp;ei=K7K5V-H6IMGXiALpzI6wCQ&amp;gl=cn" TargetMode="External"/><Relationship Id="rId274" Type="http://schemas.openxmlformats.org/officeDocument/2006/relationships/hyperlink" Target="https://www.google.com.hk/finance?q=SHA%3A601766&amp;client=fss&amp;ei=K7K5V-H6IMGXiALpzI6wCQ&amp;gl=cn" TargetMode="External"/><Relationship Id="rId295" Type="http://schemas.openxmlformats.org/officeDocument/2006/relationships/hyperlink" Target="https://www.google.com.hk/finance?q=SHA%3A600270&amp;client=fss&amp;ei=K7K5V-H6IMGXiALpzI6wCQ&amp;gl=cn" TargetMode="External"/><Relationship Id="rId309" Type="http://schemas.openxmlformats.org/officeDocument/2006/relationships/hyperlink" Target="https://www.google.com.hk/finance?q=SHA%3A600197&amp;client=fss&amp;ei=K7K5V-H6IMGXiALpzI6wCQ&amp;gl=cn" TargetMode="External"/><Relationship Id="rId27" Type="http://schemas.openxmlformats.org/officeDocument/2006/relationships/hyperlink" Target="http://www.cninfo.com.cn/information/dividend/shmb601515.html" TargetMode="External"/><Relationship Id="rId48" Type="http://schemas.openxmlformats.org/officeDocument/2006/relationships/hyperlink" Target="http://www.cninfo.com.cn/information/dividend/shmb600795.html" TargetMode="External"/><Relationship Id="rId69" Type="http://schemas.openxmlformats.org/officeDocument/2006/relationships/hyperlink" Target="http://www.cninfo.com.cn/information/dividend/shmb601991.html" TargetMode="External"/><Relationship Id="rId113" Type="http://schemas.openxmlformats.org/officeDocument/2006/relationships/hyperlink" Target="https://www.google.com.hk/finance?q=SHA%3A600027&amp;client=fss&amp;ei=K7K5V-H6IMGXiALpzI6wCQ&amp;gl=cn" TargetMode="External"/><Relationship Id="rId134" Type="http://schemas.openxmlformats.org/officeDocument/2006/relationships/hyperlink" Target="https://www.google.com.hk/finance?q=SHE%3A000600&amp;client=fss&amp;ei=K7K5V-H6IMGXiALpzI6wCQ&amp;gl=cn" TargetMode="External"/><Relationship Id="rId320" Type="http://schemas.openxmlformats.org/officeDocument/2006/relationships/hyperlink" Target="https://www.google.com.hk/finance?q=SHA%3A600887&amp;client=fss&amp;ei=K7K5V-H6IMGXiALpzI6wCQ&amp;gl=cn" TargetMode="External"/><Relationship Id="rId80" Type="http://schemas.openxmlformats.org/officeDocument/2006/relationships/hyperlink" Target="http://www.cninfo.com.cn/information/dividend/shmb600018.html" TargetMode="External"/><Relationship Id="rId155" Type="http://schemas.openxmlformats.org/officeDocument/2006/relationships/hyperlink" Target="https://www.google.com.hk/finance?q=SHE%3A002419&amp;client=fss&amp;ei=K7K5V-H6IMGXiALpzI6wCQ&amp;gl=cn" TargetMode="External"/><Relationship Id="rId176" Type="http://schemas.openxmlformats.org/officeDocument/2006/relationships/hyperlink" Target="https://www.google.com.hk/finance?q=SHA%3A600036&amp;client=fss&amp;ei=K7K5V-H6IMGXiALpzI6wCQ&amp;gl=cn" TargetMode="External"/><Relationship Id="rId197" Type="http://schemas.openxmlformats.org/officeDocument/2006/relationships/hyperlink" Target="https://www.google.com.hk/finance?q=SHE%3A002242&amp;client=fss&amp;ei=K7K5V-H6IMGXiALpzI6wCQ&amp;gl=cn" TargetMode="External"/><Relationship Id="rId201" Type="http://schemas.openxmlformats.org/officeDocument/2006/relationships/hyperlink" Target="https://www.google.com.hk/finance?q=SHE%3A002736&amp;client=fss&amp;ei=K7K5V-H6IMGXiALpzI6wCQ&amp;gl=cn" TargetMode="External"/><Relationship Id="rId222" Type="http://schemas.openxmlformats.org/officeDocument/2006/relationships/hyperlink" Target="https://www.google.com.hk/finance?q=SHE%3A000876&amp;client=fss&amp;ei=K7K5V-H6IMGXiALpzI6wCQ&amp;gl=cn" TargetMode="External"/><Relationship Id="rId243" Type="http://schemas.openxmlformats.org/officeDocument/2006/relationships/hyperlink" Target="https://www.google.com.hk/finance?q=SHA%3A600033&amp;client=fss&amp;ei=K7K5V-H6IMGXiALpzI6wCQ&amp;gl=cn" TargetMode="External"/><Relationship Id="rId264" Type="http://schemas.openxmlformats.org/officeDocument/2006/relationships/hyperlink" Target="https://www.google.com.hk/finance?q=SHA%3A600350&amp;client=fss&amp;ei=K7K5V-H6IMGXiALpzI6wCQ&amp;gl=cn" TargetMode="External"/><Relationship Id="rId285" Type="http://schemas.openxmlformats.org/officeDocument/2006/relationships/hyperlink" Target="https://www.google.com.hk/finance?q=SHA%3A601369&amp;client=fss&amp;ei=K7K5V-H6IMGXiALpzI6wCQ&amp;gl=cn" TargetMode="External"/><Relationship Id="rId17" Type="http://schemas.openxmlformats.org/officeDocument/2006/relationships/hyperlink" Target="http://www.cninfo.com.cn/information/dividend/szmb000895.html" TargetMode="External"/><Relationship Id="rId38" Type="http://schemas.openxmlformats.org/officeDocument/2006/relationships/hyperlink" Target="http://www.cninfo.com.cn/information/dividend/shmb603989.html" TargetMode="External"/><Relationship Id="rId59" Type="http://schemas.openxmlformats.org/officeDocument/2006/relationships/hyperlink" Target="http://www.cninfo.com.cn/information/dividend/shmb600383.html" TargetMode="External"/><Relationship Id="rId103" Type="http://schemas.openxmlformats.org/officeDocument/2006/relationships/hyperlink" Target="https://www.google.com.hk/finance?q=SHA%3A601006&amp;client=fss&amp;ei=K7K5V-H6IMGXiALpzI6wCQ&amp;gl=cn" TargetMode="External"/><Relationship Id="rId124" Type="http://schemas.openxmlformats.org/officeDocument/2006/relationships/hyperlink" Target="https://www.google.com.hk/finance?q=SHA%3A600182&amp;client=fss&amp;ei=K7K5V-H6IMGXiALpzI6wCQ&amp;gl=cn" TargetMode="External"/><Relationship Id="rId310" Type="http://schemas.openxmlformats.org/officeDocument/2006/relationships/hyperlink" Target="https://www.google.com.hk/finance?q=SHA%3A600197&amp;client=fss&amp;ei=K7K5V-H6IMGXiALpzI6wCQ&amp;gl=cn" TargetMode="External"/><Relationship Id="rId70" Type="http://schemas.openxmlformats.org/officeDocument/2006/relationships/hyperlink" Target="http://www.cninfo.com.cn/information/dividend/shmb601668.html" TargetMode="External"/><Relationship Id="rId91" Type="http://schemas.openxmlformats.org/officeDocument/2006/relationships/hyperlink" Target="http://www.cninfo.com.cn/information/dividend/szmb002202.html" TargetMode="External"/><Relationship Id="rId145" Type="http://schemas.openxmlformats.org/officeDocument/2006/relationships/hyperlink" Target="https://www.google.com.hk/finance?q=SHA%3A601515&amp;client=fss&amp;ei=K7K5V-H6IMGXiALpzI6wCQ&amp;gl=cn" TargetMode="External"/><Relationship Id="rId166" Type="http://schemas.openxmlformats.org/officeDocument/2006/relationships/hyperlink" Target="https://www.google.com.hk/finance?q=SHA%3A600886&amp;client=fss&amp;ei=K7K5V-H6IMGXiALpzI6wCQ&amp;gl=cn" TargetMode="External"/><Relationship Id="rId187" Type="http://schemas.openxmlformats.org/officeDocument/2006/relationships/hyperlink" Target="https://www.google.com.hk/finance?q=SHA%3A600048&amp;client=fss&amp;ei=K7K5V-H6IMGXiALpzI6wCQ&amp;gl=cn" TargetMode="External"/><Relationship Id="rId331" Type="http://schemas.openxmlformats.org/officeDocument/2006/relationships/hyperlink" Target="https://www.google.com.hk/finance?q=SHE%3A002440&amp;client=fss&amp;ei=K7K5V-H6IMGXiALpzI6wCQ&amp;gl=cn" TargetMode="External"/><Relationship Id="rId1" Type="http://schemas.openxmlformats.org/officeDocument/2006/relationships/hyperlink" Target="http://www.cninfo.com.cn/information/dividend/shmb600664.html" TargetMode="External"/><Relationship Id="rId212" Type="http://schemas.openxmlformats.org/officeDocument/2006/relationships/hyperlink" Target="https://www.google.com.hk/finance?q=SHA%3A601009&amp;client=fss&amp;ei=K7K5V-H6IMGXiALpzI6wCQ&amp;gl=cn" TargetMode="External"/><Relationship Id="rId233" Type="http://schemas.openxmlformats.org/officeDocument/2006/relationships/hyperlink" Target="https://www.google.com.hk/finance?q=SHE%3A002146&amp;client=fss&amp;ei=K7K5V-H6IMGXiALpzI6wCQ&amp;gl=cn" TargetMode="External"/><Relationship Id="rId254" Type="http://schemas.openxmlformats.org/officeDocument/2006/relationships/hyperlink" Target="https://www.google.com.hk/finance?q=SHA%3A600900&amp;client=fss&amp;ei=K7K5V-H6IMGXiALpzI6wCQ&amp;gl=cn" TargetMode="External"/><Relationship Id="rId28" Type="http://schemas.openxmlformats.org/officeDocument/2006/relationships/hyperlink" Target="http://www.cninfo.com.cn/information/dividend/shmb600660.html" TargetMode="External"/><Relationship Id="rId49" Type="http://schemas.openxmlformats.org/officeDocument/2006/relationships/hyperlink" Target="http://www.cninfo.com.cn/information/dividend/shmb603001.html" TargetMode="External"/><Relationship Id="rId114" Type="http://schemas.openxmlformats.org/officeDocument/2006/relationships/hyperlink" Target="https://www.google.com.hk/finance?q=SHA%3A600027&amp;client=fss&amp;ei=K7K5V-H6IMGXiALpzI6wCQ&amp;gl=cn" TargetMode="External"/><Relationship Id="rId275" Type="http://schemas.openxmlformats.org/officeDocument/2006/relationships/hyperlink" Target="https://www.google.com.hk/finance?q=SHE%3A002372&amp;client=fss&amp;ei=K7K5V-H6IMGXiALpzI6wCQ&amp;gl=cn" TargetMode="External"/><Relationship Id="rId296" Type="http://schemas.openxmlformats.org/officeDocument/2006/relationships/hyperlink" Target="https://www.google.com.hk/finance?q=SHA%3A600270&amp;client=fss&amp;ei=K7K5V-H6IMGXiALpzI6wCQ&amp;gl=cn" TargetMode="External"/><Relationship Id="rId300" Type="http://schemas.openxmlformats.org/officeDocument/2006/relationships/hyperlink" Target="https://www.google.com.hk/finance?q=SHE%3A002557&amp;client=fss&amp;ei=K7K5V-H6IMGXiALpzI6wCQ&amp;gl=cn" TargetMode="External"/><Relationship Id="rId60" Type="http://schemas.openxmlformats.org/officeDocument/2006/relationships/hyperlink" Target="http://www.cninfo.com.cn/information/dividend/shmb600369.html" TargetMode="External"/><Relationship Id="rId81" Type="http://schemas.openxmlformats.org/officeDocument/2006/relationships/hyperlink" Target="http://www.cninfo.com.cn/information/dividend/szmb000828.html" TargetMode="External"/><Relationship Id="rId135" Type="http://schemas.openxmlformats.org/officeDocument/2006/relationships/hyperlink" Target="https://www.google.com.hk/finance?q=SHA%3A601818&amp;client=fss&amp;ei=K7K5V-H6IMGXiALpzI6wCQ&amp;gl=cn" TargetMode="External"/><Relationship Id="rId156" Type="http://schemas.openxmlformats.org/officeDocument/2006/relationships/hyperlink" Target="https://www.google.com.hk/finance?q=SHE%3A002419&amp;client=fss&amp;ei=K7K5V-H6IMGXiALpzI6wCQ&amp;gl=cn" TargetMode="External"/><Relationship Id="rId177" Type="http://schemas.openxmlformats.org/officeDocument/2006/relationships/hyperlink" Target="https://www.google.com.hk/finance?q=SHE%3A000543&amp;client=fss&amp;ei=K7K5V-H6IMGXiALpzI6wCQ&amp;gl=cn" TargetMode="External"/><Relationship Id="rId198" Type="http://schemas.openxmlformats.org/officeDocument/2006/relationships/hyperlink" Target="https://www.google.com.hk/finance?q=SHE%3A002242&amp;client=fss&amp;ei=K7K5V-H6IMGXiALpzI6wCQ&amp;gl=cn" TargetMode="External"/><Relationship Id="rId321" Type="http://schemas.openxmlformats.org/officeDocument/2006/relationships/hyperlink" Target="https://www.google.com.hk/finance?q=SHE%3A002039&amp;client=fss&amp;ei=K7K5V-H6IMGXiALpzI6wCQ&amp;gl=cn" TargetMode="External"/><Relationship Id="rId202" Type="http://schemas.openxmlformats.org/officeDocument/2006/relationships/hyperlink" Target="https://www.google.com.hk/finance?q=SHE%3A002736&amp;client=fss&amp;ei=K7K5V-H6IMGXiALpzI6wCQ&amp;gl=cn" TargetMode="External"/><Relationship Id="rId223" Type="http://schemas.openxmlformats.org/officeDocument/2006/relationships/hyperlink" Target="https://www.google.com.hk/finance?q=SHE%3A300158&amp;client=fss&amp;ei=K7K5V-H6IMGXiALpzI6wCQ&amp;gl=cn" TargetMode="External"/><Relationship Id="rId244" Type="http://schemas.openxmlformats.org/officeDocument/2006/relationships/hyperlink" Target="https://www.google.com.hk/finance?q=SHA%3A600033&amp;client=fss&amp;ei=K7K5V-H6IMGXiALpzI6wCQ&amp;gl=cn" TargetMode="External"/><Relationship Id="rId18" Type="http://schemas.openxmlformats.org/officeDocument/2006/relationships/hyperlink" Target="http://www.cninfo.com.cn/information/dividend/szmb002489.html" TargetMode="External"/><Relationship Id="rId39" Type="http://schemas.openxmlformats.org/officeDocument/2006/relationships/hyperlink" Target="http://www.cninfo.com.cn/information/dividend/szmb000550.html" TargetMode="External"/><Relationship Id="rId265" Type="http://schemas.openxmlformats.org/officeDocument/2006/relationships/hyperlink" Target="https://www.google.com.hk/finance?q=SHA%3A600837&amp;client=fss&amp;ei=K7K5V-H6IMGXiALpzI6wCQ&amp;gl=cn" TargetMode="External"/><Relationship Id="rId286" Type="http://schemas.openxmlformats.org/officeDocument/2006/relationships/hyperlink" Target="https://www.google.com.hk/finance?q=SHA%3A601369&amp;client=fss&amp;ei=K7K5V-H6IMGXiALpzI6wCQ&amp;gl=cn" TargetMode="External"/><Relationship Id="rId50" Type="http://schemas.openxmlformats.org/officeDocument/2006/relationships/hyperlink" Target="http://www.cninfo.com.cn/information/dividend/szmb000861.html" TargetMode="External"/><Relationship Id="rId104" Type="http://schemas.openxmlformats.org/officeDocument/2006/relationships/hyperlink" Target="https://www.google.com.hk/finance?q=SHA%3A601006&amp;client=fss&amp;ei=K7K5V-H6IMGXiALpzI6wCQ&amp;gl=cn" TargetMode="External"/><Relationship Id="rId125" Type="http://schemas.openxmlformats.org/officeDocument/2006/relationships/hyperlink" Target="https://www.google.com.hk/finance?q=SHA%3A601988&amp;client=fss&amp;ei=K7K5V-H6IMGXiALpzI6wCQ&amp;gl=cn" TargetMode="External"/><Relationship Id="rId146" Type="http://schemas.openxmlformats.org/officeDocument/2006/relationships/hyperlink" Target="https://www.google.com.hk/finance?q=SHA%3A601515&amp;client=fss&amp;ei=K7K5V-H6IMGXiALpzI6wCQ&amp;gl=cn" TargetMode="External"/><Relationship Id="rId167" Type="http://schemas.openxmlformats.org/officeDocument/2006/relationships/hyperlink" Target="https://www.google.com.hk/finance?q=SHA%3A601166&amp;client=fss&amp;ei=K7K5V-H6IMGXiALpzI6wCQ&amp;gl=cn" TargetMode="External"/><Relationship Id="rId188" Type="http://schemas.openxmlformats.org/officeDocument/2006/relationships/hyperlink" Target="https://www.google.com.hk/finance?q=SHA%3A600048&amp;client=fss&amp;ei=K7K5V-H6IMGXiALpzI6wCQ&amp;gl=cn" TargetMode="External"/><Relationship Id="rId311" Type="http://schemas.openxmlformats.org/officeDocument/2006/relationships/hyperlink" Target="https://www.google.com.hk/finance?q=SHA%3A601179&amp;client=fss&amp;ei=K7K5V-H6IMGXiALpzI6wCQ&amp;gl=cn" TargetMode="External"/><Relationship Id="rId332" Type="http://schemas.openxmlformats.org/officeDocument/2006/relationships/hyperlink" Target="https://www.google.com.hk/finance?q=SHE%3A002440&amp;client=fss&amp;ei=K7K5V-H6IMGXiALpzI6wCQ&amp;gl=cn" TargetMode="External"/><Relationship Id="rId71" Type="http://schemas.openxmlformats.org/officeDocument/2006/relationships/hyperlink" Target="http://www.cninfo.com.cn/information/dividend/szmb002083.html" TargetMode="External"/><Relationship Id="rId92" Type="http://schemas.openxmlformats.org/officeDocument/2006/relationships/hyperlink" Target="http://www.cninfo.com.cn/information/dividend/shmb601766.html" TargetMode="External"/><Relationship Id="rId213" Type="http://schemas.openxmlformats.org/officeDocument/2006/relationships/hyperlink" Target="https://www.google.com.hk/finance?q=SHA%3A601998&amp;client=fss&amp;ei=K7K5V-H6IMGXiALpzI6wCQ&amp;gl=cn" TargetMode="External"/><Relationship Id="rId234" Type="http://schemas.openxmlformats.org/officeDocument/2006/relationships/hyperlink" Target="https://www.google.com.hk/finance?q=SHE%3A002146&amp;client=fss&amp;ei=K7K5V-H6IMGXiALpzI6wCQ&amp;gl=cn" TargetMode="External"/><Relationship Id="rId2" Type="http://schemas.openxmlformats.org/officeDocument/2006/relationships/hyperlink" Target="http://www.cninfo.com.cn/information/dividend/szmb000651.html" TargetMode="External"/><Relationship Id="rId29" Type="http://schemas.openxmlformats.org/officeDocument/2006/relationships/hyperlink" Target="http://www.cninfo.com.cn/information/dividend/shmb600377.html" TargetMode="External"/><Relationship Id="rId255" Type="http://schemas.openxmlformats.org/officeDocument/2006/relationships/hyperlink" Target="https://www.google.com.hk/finance?q=SHE%3A000333&amp;client=fss&amp;ei=K7K5V-H6IMGXiALpzI6wCQ&amp;gl=cn" TargetMode="External"/><Relationship Id="rId276" Type="http://schemas.openxmlformats.org/officeDocument/2006/relationships/hyperlink" Target="https://www.google.com.hk/finance?q=SHE%3A002372&amp;client=fss&amp;ei=K7K5V-H6IMGXiALpzI6wCQ&amp;gl=cn" TargetMode="External"/><Relationship Id="rId297" Type="http://schemas.openxmlformats.org/officeDocument/2006/relationships/hyperlink" Target="https://www.google.com.hk/finance?q=SHA%3A600958&amp;client=fss&amp;ei=K7K5V-H6IMGXiALpzI6wCQ&amp;gl=cn" TargetMode="External"/><Relationship Id="rId40" Type="http://schemas.openxmlformats.org/officeDocument/2006/relationships/hyperlink" Target="http://www.cninfo.com.cn/information/dividend/shmb600886.html" TargetMode="External"/><Relationship Id="rId115" Type="http://schemas.openxmlformats.org/officeDocument/2006/relationships/hyperlink" Target="https://www.google.com.hk/finance?q=SHA%3A601398&amp;client=fss&amp;ei=K7K5V-H6IMGXiALpzI6wCQ&amp;gl=cn" TargetMode="External"/><Relationship Id="rId136" Type="http://schemas.openxmlformats.org/officeDocument/2006/relationships/hyperlink" Target="https://www.google.com.hk/finance?q=SHA%3A601818&amp;client=fss&amp;ei=K7K5V-H6IMGXiALpzI6wCQ&amp;gl=cn" TargetMode="External"/><Relationship Id="rId157" Type="http://schemas.openxmlformats.org/officeDocument/2006/relationships/hyperlink" Target="https://www.google.com.hk/finance?q=SHA%3A601991&amp;client=fss&amp;ei=K7K5V-H6IMGXiALpzI6wCQ&amp;gl=cn" TargetMode="External"/><Relationship Id="rId178" Type="http://schemas.openxmlformats.org/officeDocument/2006/relationships/hyperlink" Target="https://www.google.com.hk/finance?q=SHE%3A000543&amp;client=fss&amp;ei=K7K5V-H6IMGXiALpzI6wCQ&amp;gl=cn" TargetMode="External"/><Relationship Id="rId301" Type="http://schemas.openxmlformats.org/officeDocument/2006/relationships/hyperlink" Target="https://www.google.com.hk/finance?q=SHA%3A601633&amp;client=fss&amp;ei=K7K5V-H6IMGXiALpzI6wCQ&amp;gl=cn" TargetMode="External"/><Relationship Id="rId322" Type="http://schemas.openxmlformats.org/officeDocument/2006/relationships/hyperlink" Target="https://www.google.com.hk/finance?q=SHE%3A002039&amp;client=fss&amp;ei=K7K5V-H6IMGXiALpzI6wCQ&amp;gl=cn" TargetMode="External"/><Relationship Id="rId61" Type="http://schemas.openxmlformats.org/officeDocument/2006/relationships/hyperlink" Target="http://www.cninfo.com.cn/information/dividend/szmb000488.html" TargetMode="External"/><Relationship Id="rId82" Type="http://schemas.openxmlformats.org/officeDocument/2006/relationships/hyperlink" Target="http://www.cninfo.com.cn/information/dividend/szmb000402.html" TargetMode="External"/><Relationship Id="rId199" Type="http://schemas.openxmlformats.org/officeDocument/2006/relationships/hyperlink" Target="https://www.google.com.hk/finance?q=SHA%3A601788&amp;client=fss&amp;ei=K7K5V-H6IMGXiALpzI6wCQ&amp;gl=cn" TargetMode="External"/><Relationship Id="rId203" Type="http://schemas.openxmlformats.org/officeDocument/2006/relationships/hyperlink" Target="https://www.google.com.hk/finance?q=SHA%3A600315&amp;client=fss&amp;ei=K7K5V-H6IMGXiALpzI6wCQ&amp;gl=cn" TargetMode="External"/><Relationship Id="rId19" Type="http://schemas.openxmlformats.org/officeDocument/2006/relationships/hyperlink" Target="http://www.cninfo.com.cn/information/dividend/shmb600894.html" TargetMode="External"/><Relationship Id="rId224" Type="http://schemas.openxmlformats.org/officeDocument/2006/relationships/hyperlink" Target="https://www.google.com.hk/finance?q=SHE%3A300158&amp;client=fss&amp;ei=K7K5V-H6IMGXiALpzI6wCQ&amp;gl=cn" TargetMode="External"/><Relationship Id="rId245" Type="http://schemas.openxmlformats.org/officeDocument/2006/relationships/hyperlink" Target="https://www.google.com.hk/finance?q=SHE%3A000002&amp;client=fss&amp;ei=K7K5V-H6IMGXiALpzI6wCQ&amp;gl=cn" TargetMode="External"/><Relationship Id="rId266" Type="http://schemas.openxmlformats.org/officeDocument/2006/relationships/hyperlink" Target="https://www.google.com.hk/finance?q=SHA%3A600837&amp;client=fss&amp;ei=K7K5V-H6IMGXiALpzI6wCQ&amp;gl=cn" TargetMode="External"/><Relationship Id="rId287" Type="http://schemas.openxmlformats.org/officeDocument/2006/relationships/hyperlink" Target="https://www.google.com.hk/finance?q=SHE%3A000685&amp;client=fss&amp;ei=K7K5V-H6IMGXiALpzI6wCQ&amp;gl=cn" TargetMode="External"/><Relationship Id="rId30" Type="http://schemas.openxmlformats.org/officeDocument/2006/relationships/hyperlink" Target="http://www.cninfo.com.cn/information/dividend/szmb000539.html" TargetMode="External"/><Relationship Id="rId105" Type="http://schemas.openxmlformats.org/officeDocument/2006/relationships/hyperlink" Target="https://www.google.com.hk/finance?q=SHA%3A600066&amp;client=fss&amp;ei=K7K5V-H6IMGXiALpzI6wCQ&amp;gl=cn" TargetMode="External"/><Relationship Id="rId126" Type="http://schemas.openxmlformats.org/officeDocument/2006/relationships/hyperlink" Target="https://www.google.com.hk/finance?q=SHA%3A601988&amp;client=fss&amp;ei=K7K5V-H6IMGXiALpzI6wCQ&amp;gl=cn" TargetMode="External"/><Relationship Id="rId147" Type="http://schemas.openxmlformats.org/officeDocument/2006/relationships/hyperlink" Target="https://www.google.com.hk/finance?q=SHA%3A600660&amp;client=fss&amp;ei=K7K5V-H6IMGXiALpzI6wCQ&amp;gl=cn" TargetMode="External"/><Relationship Id="rId168" Type="http://schemas.openxmlformats.org/officeDocument/2006/relationships/hyperlink" Target="https://www.google.com.hk/finance?q=SHA%3A601166&amp;client=fss&amp;ei=K7K5V-H6IMGXiALpzI6wCQ&amp;gl=cn" TargetMode="External"/><Relationship Id="rId312" Type="http://schemas.openxmlformats.org/officeDocument/2006/relationships/hyperlink" Target="https://www.google.com.hk/finance?q=SHA%3A601179&amp;client=fss&amp;ei=K7K5V-H6IMGXiALpzI6wCQ&amp;gl=cn" TargetMode="External"/><Relationship Id="rId333" Type="http://schemas.openxmlformats.org/officeDocument/2006/relationships/hyperlink" Target="https://www.google.com.hk/finance?q=SHE%3A000690&amp;client=fss&amp;ei=K7K5V-H6IMGXiALpzI6wCQ&amp;gl=cn" TargetMode="External"/><Relationship Id="rId51" Type="http://schemas.openxmlformats.org/officeDocument/2006/relationships/hyperlink" Target="http://www.cninfo.com.cn/information/dividend/szmb001696.html" TargetMode="External"/><Relationship Id="rId72" Type="http://schemas.openxmlformats.org/officeDocument/2006/relationships/hyperlink" Target="http://www.cninfo.com.cn/information/dividend/shmb600269.html" TargetMode="External"/><Relationship Id="rId93" Type="http://schemas.openxmlformats.org/officeDocument/2006/relationships/hyperlink" Target="http://www.cninfo.com.cn/information/dividend/szmb000338.html" TargetMode="External"/><Relationship Id="rId189" Type="http://schemas.openxmlformats.org/officeDocument/2006/relationships/hyperlink" Target="https://www.google.com.hk/finance?q=SHE%3A000525&amp;client=fss&amp;ei=K7K5V-H6IMGXiALpzI6wCQ&amp;gl=c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D17" sqref="D17"/>
    </sheetView>
  </sheetViews>
  <sheetFormatPr defaultRowHeight="17.399999999999999" x14ac:dyDescent="0.25"/>
  <cols>
    <col min="1" max="1" width="8.796875" style="138"/>
    <col min="2" max="3" width="11.59765625" style="138" customWidth="1"/>
    <col min="4" max="4" width="11" style="138" customWidth="1"/>
    <col min="5" max="5" width="11.296875" style="138" customWidth="1"/>
    <col min="6" max="6" width="11" style="138" customWidth="1"/>
    <col min="7" max="7" width="11.59765625" style="159" customWidth="1"/>
    <col min="8" max="8" width="11.59765625" style="138" customWidth="1"/>
    <col min="9" max="9" width="11.69921875" style="138" bestFit="1" customWidth="1"/>
    <col min="10" max="10" width="9.59765625" style="138" customWidth="1"/>
    <col min="11" max="11" width="12.5" style="138" customWidth="1"/>
    <col min="12" max="12" width="10" style="154" bestFit="1" customWidth="1"/>
    <col min="13" max="13" width="9.3984375" style="138" customWidth="1"/>
    <col min="14" max="14" width="10.19921875" style="154" customWidth="1"/>
    <col min="15" max="15" width="10.296875" style="138" bestFit="1" customWidth="1"/>
    <col min="16" max="16" width="10" style="138" customWidth="1"/>
    <col min="17" max="17" width="9" style="138" customWidth="1"/>
    <col min="18" max="18" width="11.09765625" style="138" bestFit="1" customWidth="1"/>
    <col min="19" max="19" width="8.8984375" style="138" bestFit="1" customWidth="1"/>
    <col min="20" max="16384" width="8.796875" style="138"/>
  </cols>
  <sheetData>
    <row r="2" spans="2:15" x14ac:dyDescent="0.25">
      <c r="B2" s="155" t="s">
        <v>1150</v>
      </c>
      <c r="C2" s="155"/>
      <c r="D2" s="155" t="s">
        <v>1153</v>
      </c>
      <c r="G2" s="138"/>
      <c r="H2" s="159"/>
      <c r="L2" s="138"/>
      <c r="M2" s="154"/>
      <c r="N2" s="138"/>
      <c r="O2" s="154"/>
    </row>
    <row r="3" spans="2:15" x14ac:dyDescent="0.25">
      <c r="B3" s="158" t="s">
        <v>1157</v>
      </c>
      <c r="C3" s="158" t="str">
        <f ca="1">getStockName(B3)</f>
        <v>贵州茅台</v>
      </c>
      <c r="D3" s="158" t="str">
        <f ca="1">getStockPrice(B3)</f>
        <v>1544.000</v>
      </c>
      <c r="G3" s="138"/>
      <c r="H3" s="159"/>
      <c r="L3" s="138"/>
      <c r="M3" s="154"/>
      <c r="N3" s="138"/>
      <c r="O3" s="154"/>
    </row>
    <row r="4" spans="2:15" x14ac:dyDescent="0.25">
      <c r="B4" s="158" t="s">
        <v>1152</v>
      </c>
      <c r="C4" s="158" t="str">
        <f ca="1">getStockName(B4)</f>
        <v>平安银行</v>
      </c>
      <c r="D4" s="158" t="str">
        <f t="shared" ref="D4:D5" ca="1" si="0">getStockPrice(B4)</f>
        <v>13.430</v>
      </c>
      <c r="G4" s="138"/>
      <c r="H4" s="159"/>
      <c r="L4" s="138"/>
      <c r="M4" s="154"/>
      <c r="N4" s="138"/>
      <c r="O4" s="154"/>
    </row>
    <row r="5" spans="2:15" x14ac:dyDescent="0.25">
      <c r="B5" s="158" t="s">
        <v>1151</v>
      </c>
      <c r="C5" s="158" t="str">
        <f ca="1">getStockName(B5)</f>
        <v>中国平安</v>
      </c>
      <c r="D5" s="158" t="str">
        <f t="shared" ca="1" si="0"/>
        <v>76.000</v>
      </c>
      <c r="G5" s="138"/>
      <c r="H5" s="159"/>
      <c r="L5" s="138"/>
      <c r="M5" s="154"/>
      <c r="N5" s="138"/>
      <c r="O5" s="154"/>
    </row>
    <row r="6" spans="2:15" x14ac:dyDescent="0.25">
      <c r="B6" s="157" t="s">
        <v>1155</v>
      </c>
      <c r="C6" s="157" t="str">
        <f ca="1">getHKStockName(B6)</f>
        <v>融创中国</v>
      </c>
      <c r="D6" s="157">
        <f ca="1">getHKStockPrice(B6)</f>
        <v>37.15</v>
      </c>
      <c r="G6" s="138"/>
      <c r="H6" s="159"/>
      <c r="L6" s="160"/>
      <c r="M6" s="154"/>
      <c r="N6" s="138"/>
      <c r="O6" s="154"/>
    </row>
    <row r="7" spans="2:15" x14ac:dyDescent="0.25">
      <c r="B7" s="157" t="s">
        <v>1156</v>
      </c>
      <c r="C7" s="157" t="str">
        <f ca="1">getHKStockName(B7)</f>
        <v>腾讯控股</v>
      </c>
      <c r="D7" s="157">
        <f ca="1">getHKStockPrice(B7)</f>
        <v>518.5</v>
      </c>
      <c r="G7" s="138"/>
      <c r="H7" s="159"/>
      <c r="L7" s="138"/>
      <c r="M7" s="154"/>
      <c r="N7" s="138"/>
      <c r="O7" s="154"/>
    </row>
    <row r="8" spans="2:15" x14ac:dyDescent="0.25">
      <c r="B8" s="156" t="s">
        <v>1154</v>
      </c>
      <c r="C8" s="156" t="str">
        <f ca="1">getStockName(B8)</f>
        <v>深成指A</v>
      </c>
      <c r="D8" s="156" t="str">
        <f ca="1">getStockPrice(B8)</f>
        <v>1.001</v>
      </c>
      <c r="G8" s="138"/>
      <c r="H8" s="159"/>
      <c r="L8" s="160"/>
      <c r="M8" s="154"/>
      <c r="N8" s="138"/>
      <c r="O8" s="154"/>
    </row>
    <row r="9" spans="2:15" x14ac:dyDescent="0.25">
      <c r="B9" s="156" t="s">
        <v>1148</v>
      </c>
      <c r="C9" s="156" t="str">
        <f t="shared" ref="C9:C10" ca="1" si="1">getStockName(B9)</f>
        <v>华宝油气</v>
      </c>
      <c r="D9" s="156" t="str">
        <f t="shared" ref="D9:D10" ca="1" si="2">getStockPrice(B9)</f>
        <v>0.281</v>
      </c>
      <c r="I9" s="154"/>
    </row>
    <row r="10" spans="2:15" x14ac:dyDescent="0.25">
      <c r="B10" s="156" t="s">
        <v>1149</v>
      </c>
      <c r="C10" s="156" t="str">
        <f t="shared" ca="1" si="1"/>
        <v>诺安油气</v>
      </c>
      <c r="D10" s="156" t="str">
        <f t="shared" ca="1" si="2"/>
        <v>0.493</v>
      </c>
      <c r="I10" s="154"/>
    </row>
    <row r="11" spans="2:15" x14ac:dyDescent="0.25">
      <c r="F11" s="159"/>
    </row>
    <row r="12" spans="2:15" x14ac:dyDescent="0.25">
      <c r="B12" s="138" t="s">
        <v>1158</v>
      </c>
      <c r="F12" s="159"/>
    </row>
    <row r="13" spans="2:15" x14ac:dyDescent="0.25">
      <c r="B13" s="138" t="s">
        <v>1159</v>
      </c>
      <c r="F13" s="159"/>
    </row>
    <row r="14" spans="2:15" x14ac:dyDescent="0.25">
      <c r="B14" s="138" t="s">
        <v>1160</v>
      </c>
    </row>
    <row r="15" spans="2:15" x14ac:dyDescent="0.25">
      <c r="B15" s="138" t="s">
        <v>1161</v>
      </c>
    </row>
    <row r="43" spans="7:7" x14ac:dyDescent="0.25">
      <c r="G43" s="138"/>
    </row>
  </sheetData>
  <customSheetViews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1"/>
    </customSheetView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2"/>
    </customSheetView>
  </customSheetViews>
  <phoneticPr fontId="3" type="noConversion"/>
  <pageMargins left="0.71" right="0.71" top="0.75" bottom="0.75" header="0.31" footer="0.31"/>
  <pageSetup paperSize="9" scale="90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C4D64-2470-444E-B603-4A1F3A10F282}">
  <sheetPr codeName="Sheet14"/>
  <dimension ref="B2:M26"/>
  <sheetViews>
    <sheetView workbookViewId="0">
      <selection activeCell="O10" sqref="O10"/>
    </sheetView>
  </sheetViews>
  <sheetFormatPr defaultRowHeight="17.399999999999999" x14ac:dyDescent="0.25"/>
  <cols>
    <col min="1" max="2" width="8.796875" style="138"/>
    <col min="3" max="3" width="9.19921875" style="138" customWidth="1"/>
    <col min="4" max="4" width="9.09765625" style="138" customWidth="1"/>
    <col min="5" max="9" width="8.796875" style="138"/>
    <col min="10" max="10" width="9.3984375" style="138" bestFit="1" customWidth="1"/>
    <col min="11" max="13" width="9.69921875" style="138" bestFit="1" customWidth="1"/>
    <col min="14" max="16384" width="8.796875" style="138"/>
  </cols>
  <sheetData>
    <row r="2" spans="2:12" ht="17.399999999999999" customHeight="1" x14ac:dyDescent="0.25"/>
    <row r="3" spans="2:12" ht="20.399999999999999" x14ac:dyDescent="0.25">
      <c r="B3" s="162" t="s">
        <v>1145</v>
      </c>
      <c r="C3" s="164" t="s">
        <v>1135</v>
      </c>
      <c r="D3" s="164"/>
      <c r="E3" s="164"/>
      <c r="F3" s="164"/>
      <c r="G3" s="164"/>
      <c r="H3" s="165"/>
      <c r="I3" s="146" t="s">
        <v>1134</v>
      </c>
      <c r="J3" s="166" t="s">
        <v>1147</v>
      </c>
      <c r="K3" s="164"/>
      <c r="L3" s="165"/>
    </row>
    <row r="4" spans="2:12" x14ac:dyDescent="0.25">
      <c r="B4" s="163"/>
      <c r="C4" s="140" t="s">
        <v>1137</v>
      </c>
      <c r="D4" s="140" t="s">
        <v>1138</v>
      </c>
      <c r="E4" s="140" t="s">
        <v>1082</v>
      </c>
      <c r="F4" s="140" t="s">
        <v>1139</v>
      </c>
      <c r="G4" s="140" t="s">
        <v>1140</v>
      </c>
      <c r="H4" s="140" t="s">
        <v>1141</v>
      </c>
      <c r="I4" s="140" t="s">
        <v>1146</v>
      </c>
      <c r="J4" s="140" t="s">
        <v>1142</v>
      </c>
      <c r="K4" s="140" t="s">
        <v>1143</v>
      </c>
      <c r="L4" s="140" t="s">
        <v>1144</v>
      </c>
    </row>
    <row r="5" spans="2:12" x14ac:dyDescent="0.25">
      <c r="B5" s="140">
        <v>2005</v>
      </c>
      <c r="C5" s="141">
        <v>0</v>
      </c>
      <c r="D5" s="150">
        <v>-7.6499999999999999E-2</v>
      </c>
      <c r="E5" s="142">
        <v>4.5400000000000003E-2</v>
      </c>
      <c r="F5" s="142">
        <v>1.49E-2</v>
      </c>
      <c r="G5" s="142">
        <v>0.40610000000000002</v>
      </c>
      <c r="H5" s="142">
        <v>0.26929999999999998</v>
      </c>
      <c r="I5" s="142">
        <v>0.24079999999999999</v>
      </c>
      <c r="J5" s="142">
        <v>0.40479999999999999</v>
      </c>
      <c r="K5" s="142">
        <v>0.18210000000000001</v>
      </c>
      <c r="L5" s="147">
        <v>0.48559049562202938</v>
      </c>
    </row>
    <row r="6" spans="2:12" x14ac:dyDescent="0.25">
      <c r="B6" s="140">
        <v>2006</v>
      </c>
      <c r="C6" s="143">
        <v>0</v>
      </c>
      <c r="D6" s="148">
        <v>1.2101999999999999</v>
      </c>
      <c r="E6" s="144">
        <v>0.34200000000000003</v>
      </c>
      <c r="F6" s="144">
        <v>6.7900000000000002E-2</v>
      </c>
      <c r="G6" s="144">
        <v>6.9199999999999998E-2</v>
      </c>
      <c r="H6" s="144">
        <v>0.2198</v>
      </c>
      <c r="I6" s="144">
        <v>7.7000000000000002E-3</v>
      </c>
      <c r="J6" s="151">
        <v>-2.0000000000000001E-4</v>
      </c>
      <c r="K6" s="144">
        <v>0.2303</v>
      </c>
      <c r="L6" s="139">
        <v>0.11481885598509978</v>
      </c>
    </row>
    <row r="7" spans="2:12" x14ac:dyDescent="0.25">
      <c r="B7" s="140">
        <v>2007</v>
      </c>
      <c r="C7" s="143">
        <v>0</v>
      </c>
      <c r="D7" s="148">
        <v>1.6154999999999999</v>
      </c>
      <c r="E7" s="144">
        <v>0.3931</v>
      </c>
      <c r="F7" s="144">
        <v>0.1867</v>
      </c>
      <c r="G7" s="151">
        <v>-0.1113</v>
      </c>
      <c r="H7" s="144">
        <v>0.22289999999999999</v>
      </c>
      <c r="I7" s="144">
        <v>-5.4899999999999997E-2</v>
      </c>
      <c r="J7" s="144">
        <v>0.57269999999999999</v>
      </c>
      <c r="K7" s="144">
        <v>0.309</v>
      </c>
      <c r="L7" s="139">
        <v>0.2505419048141666</v>
      </c>
    </row>
    <row r="8" spans="2:12" x14ac:dyDescent="0.25">
      <c r="B8" s="140">
        <v>2008</v>
      </c>
      <c r="C8" s="143">
        <v>0</v>
      </c>
      <c r="D8" s="151">
        <v>-0.65949999999999998</v>
      </c>
      <c r="E8" s="144">
        <v>-0.48209999999999997</v>
      </c>
      <c r="F8" s="144">
        <v>-0.41889999999999999</v>
      </c>
      <c r="G8" s="144">
        <v>-0.42120000000000002</v>
      </c>
      <c r="H8" s="144">
        <v>-0.4037</v>
      </c>
      <c r="I8" s="148">
        <v>0.1711</v>
      </c>
      <c r="J8" s="144">
        <v>-0.55549999999999999</v>
      </c>
      <c r="K8" s="144">
        <v>5.5899999999999998E-2</v>
      </c>
      <c r="L8" s="139">
        <v>-0.14719064203401022</v>
      </c>
    </row>
    <row r="9" spans="2:12" x14ac:dyDescent="0.25">
      <c r="B9" s="140">
        <v>2009</v>
      </c>
      <c r="C9" s="143">
        <v>0</v>
      </c>
      <c r="D9" s="148">
        <v>0.96709999999999996</v>
      </c>
      <c r="E9" s="144">
        <v>0.5202</v>
      </c>
      <c r="F9" s="144">
        <v>0.53539999999999999</v>
      </c>
      <c r="G9" s="144">
        <v>0.19040000000000001</v>
      </c>
      <c r="H9" s="144">
        <v>0.23849999999999999</v>
      </c>
      <c r="I9" s="144">
        <v>6.7999999999999996E-3</v>
      </c>
      <c r="J9" s="144">
        <v>0.86029999999999995</v>
      </c>
      <c r="K9" s="144">
        <v>0.24540000000000001</v>
      </c>
      <c r="L9" s="139">
        <v>0.4363702422907767</v>
      </c>
    </row>
    <row r="10" spans="2:12" x14ac:dyDescent="0.25">
      <c r="B10" s="140">
        <v>2010</v>
      </c>
      <c r="C10" s="143">
        <v>0</v>
      </c>
      <c r="D10" s="151">
        <v>-0.12509999999999999</v>
      </c>
      <c r="E10" s="144">
        <v>5.3199999999999997E-2</v>
      </c>
      <c r="F10" s="144">
        <v>0.19220000000000001</v>
      </c>
      <c r="G10" s="144">
        <v>-3.0099999999999998E-2</v>
      </c>
      <c r="H10" s="144">
        <v>0.16059999999999999</v>
      </c>
      <c r="I10" s="144">
        <v>7.4200000000000002E-2</v>
      </c>
      <c r="J10" s="144">
        <v>0.1515</v>
      </c>
      <c r="K10" s="148">
        <v>0.29670000000000002</v>
      </c>
      <c r="L10" s="139">
        <v>0.10570526323106755</v>
      </c>
    </row>
    <row r="11" spans="2:12" x14ac:dyDescent="0.25">
      <c r="B11" s="140">
        <v>2011</v>
      </c>
      <c r="C11" s="143">
        <v>-0.1099</v>
      </c>
      <c r="D11" s="151">
        <v>-0.25009999999999999</v>
      </c>
      <c r="E11" s="144">
        <v>-0.19969999999999999</v>
      </c>
      <c r="F11" s="144">
        <v>2.7E-2</v>
      </c>
      <c r="G11" s="144">
        <v>-0.1734</v>
      </c>
      <c r="H11" s="144">
        <v>-0.1469</v>
      </c>
      <c r="I11" s="144">
        <v>3.5000000000000003E-2</v>
      </c>
      <c r="J11" s="144">
        <v>8.4000000000000005E-2</v>
      </c>
      <c r="K11" s="148">
        <v>0.10050000000000001</v>
      </c>
      <c r="L11" s="139">
        <v>4.3855323910751309E-2</v>
      </c>
    </row>
    <row r="12" spans="2:12" x14ac:dyDescent="0.25">
      <c r="B12" s="140">
        <v>2012</v>
      </c>
      <c r="C12" s="143">
        <v>9.1899999999999996E-2</v>
      </c>
      <c r="D12" s="144">
        <v>7.5499999999999998E-2</v>
      </c>
      <c r="E12" s="144">
        <v>0.2291</v>
      </c>
      <c r="F12" s="144">
        <v>0.16819999999999999</v>
      </c>
      <c r="G12" s="144">
        <v>0.22939999999999999</v>
      </c>
      <c r="H12" s="148">
        <v>0.29060000000000002</v>
      </c>
      <c r="I12" s="144">
        <v>7.4899999999999994E-2</v>
      </c>
      <c r="J12" s="151">
        <v>-7.3400000000000007E-2</v>
      </c>
      <c r="K12" s="144">
        <v>7.0699999999999999E-2</v>
      </c>
      <c r="L12" s="139">
        <v>1.7709494737070175E-2</v>
      </c>
    </row>
    <row r="13" spans="2:12" x14ac:dyDescent="0.25">
      <c r="B13" s="140">
        <v>2013</v>
      </c>
      <c r="C13" s="149">
        <v>0.73570000000000002</v>
      </c>
      <c r="D13" s="144">
        <v>-7.6499999999999999E-2</v>
      </c>
      <c r="E13" s="144">
        <v>2.87E-2</v>
      </c>
      <c r="F13" s="144">
        <v>0.34989999999999999</v>
      </c>
      <c r="G13" s="144">
        <v>0.56720000000000004</v>
      </c>
      <c r="H13" s="144">
        <v>0.25480000000000003</v>
      </c>
      <c r="I13" s="144">
        <v>4.36E-2</v>
      </c>
      <c r="J13" s="144">
        <v>7.5300000000000006E-2</v>
      </c>
      <c r="K13" s="151">
        <v>-0.2802</v>
      </c>
      <c r="L13" s="139">
        <v>0.17297943115118564</v>
      </c>
    </row>
    <row r="14" spans="2:12" x14ac:dyDescent="0.25">
      <c r="B14" s="140">
        <v>2014</v>
      </c>
      <c r="C14" s="143">
        <v>0.126</v>
      </c>
      <c r="D14" s="148">
        <v>0.51659999999999995</v>
      </c>
      <c r="E14" s="144">
        <v>1.2800000000000001E-2</v>
      </c>
      <c r="F14" s="144">
        <v>0.1794</v>
      </c>
      <c r="G14" s="144">
        <v>7.1199999999999999E-2</v>
      </c>
      <c r="H14" s="144">
        <v>2.6499999999999999E-2</v>
      </c>
      <c r="I14" s="144">
        <v>8.7300000000000003E-2</v>
      </c>
      <c r="J14" s="151">
        <v>-0.45579999999999998</v>
      </c>
      <c r="K14" s="144">
        <v>-1.7899999999999999E-2</v>
      </c>
      <c r="L14" s="139">
        <v>-7.5961736084567355E-2</v>
      </c>
    </row>
    <row r="15" spans="2:12" x14ac:dyDescent="0.25">
      <c r="B15" s="140">
        <v>2015</v>
      </c>
      <c r="C15" s="149">
        <v>0.80200000000000005</v>
      </c>
      <c r="D15" s="144">
        <v>5.5800000000000002E-2</v>
      </c>
      <c r="E15" s="144">
        <v>-7.1599999999999997E-2</v>
      </c>
      <c r="F15" s="144">
        <v>8.43E-2</v>
      </c>
      <c r="G15" s="144">
        <v>9.0700000000000003E-2</v>
      </c>
      <c r="H15" s="144">
        <v>9.5600000000000004E-2</v>
      </c>
      <c r="I15" s="144">
        <v>8.8400000000000006E-2</v>
      </c>
      <c r="J15" s="151">
        <v>-0.30980000000000002</v>
      </c>
      <c r="K15" s="144">
        <v>-0.1036</v>
      </c>
      <c r="L15" s="139">
        <v>6.5044686276046315E-2</v>
      </c>
    </row>
    <row r="16" spans="2:12" x14ac:dyDescent="0.25">
      <c r="B16" s="140">
        <v>2016</v>
      </c>
      <c r="C16" s="152">
        <v>-0.2626</v>
      </c>
      <c r="D16" s="144">
        <v>-0.1128</v>
      </c>
      <c r="E16" s="144">
        <v>4.4999999999999997E-3</v>
      </c>
      <c r="F16" s="144">
        <v>5.8900000000000001E-2</v>
      </c>
      <c r="G16" s="144">
        <v>4.1999999999999997E-3</v>
      </c>
      <c r="H16" s="144">
        <v>6.8699999999999997E-2</v>
      </c>
      <c r="I16" s="144">
        <v>6.0400000000000002E-2</v>
      </c>
      <c r="J16" s="148">
        <v>0.45369999999999999</v>
      </c>
      <c r="K16" s="144">
        <v>8.5300000000000001E-2</v>
      </c>
      <c r="L16" s="139">
        <v>0.22456152477349201</v>
      </c>
    </row>
    <row r="17" spans="2:13" x14ac:dyDescent="0.25">
      <c r="B17" s="140">
        <v>2017</v>
      </c>
      <c r="C17" s="152">
        <v>-8.8700000000000001E-2</v>
      </c>
      <c r="D17" s="144">
        <v>0.21779999999999999</v>
      </c>
      <c r="E17" s="148">
        <v>0.3599</v>
      </c>
      <c r="F17" s="144">
        <v>0.31519999999999998</v>
      </c>
      <c r="G17" s="144">
        <v>0.191</v>
      </c>
      <c r="H17" s="144">
        <v>0.12509999999999999</v>
      </c>
      <c r="I17" s="144">
        <v>2.1399999999999999E-2</v>
      </c>
      <c r="J17" s="144">
        <v>0.1152</v>
      </c>
      <c r="K17" s="144">
        <v>0.1308</v>
      </c>
      <c r="L17" s="139">
        <v>7.5646705929966807E-2</v>
      </c>
    </row>
    <row r="18" spans="2:13" x14ac:dyDescent="0.25">
      <c r="B18" s="140">
        <v>2018</v>
      </c>
      <c r="C18" s="152">
        <v>-0.3034</v>
      </c>
      <c r="D18" s="144">
        <v>-0.25309999999999999</v>
      </c>
      <c r="E18" s="144">
        <v>-0.1361</v>
      </c>
      <c r="F18" s="144">
        <v>-2.7900000000000001E-2</v>
      </c>
      <c r="G18" s="144">
        <v>-0.1208</v>
      </c>
      <c r="H18" s="144">
        <v>-0.18260000000000001</v>
      </c>
      <c r="I18" s="148">
        <v>5.7099999999999998E-2</v>
      </c>
      <c r="J18" s="144">
        <v>-0.23780000000000001</v>
      </c>
      <c r="K18" s="144">
        <v>-1.5100000000000001E-2</v>
      </c>
      <c r="L18" s="139">
        <v>3.7156456100392976E-2</v>
      </c>
    </row>
    <row r="19" spans="2:13" x14ac:dyDescent="0.25">
      <c r="B19" s="140">
        <v>2019</v>
      </c>
      <c r="C19" s="149">
        <v>0.43790000000000001</v>
      </c>
      <c r="D19" s="144">
        <v>0.36070000000000002</v>
      </c>
      <c r="E19" s="144">
        <v>8.9800000000000005E-2</v>
      </c>
      <c r="F19" s="144">
        <v>0.42070000000000002</v>
      </c>
      <c r="G19" s="144">
        <v>0.20349999999999999</v>
      </c>
      <c r="H19" s="144">
        <v>0.26450000000000001</v>
      </c>
      <c r="I19" s="144">
        <v>5.7299999999999997E-2</v>
      </c>
      <c r="J19" s="144">
        <v>0.33900000000000002</v>
      </c>
      <c r="K19" s="144">
        <v>0.2384</v>
      </c>
      <c r="L19" s="153">
        <v>8.8999999999999996E-2</v>
      </c>
    </row>
    <row r="20" spans="2:13" x14ac:dyDescent="0.25">
      <c r="B20" s="140">
        <v>2020</v>
      </c>
      <c r="C20" s="144"/>
      <c r="D20" s="144"/>
      <c r="E20" s="144"/>
      <c r="F20" s="144"/>
      <c r="G20" s="144"/>
      <c r="H20" s="144"/>
      <c r="I20" s="144"/>
      <c r="J20" s="144"/>
      <c r="K20" s="144"/>
      <c r="L20" s="151"/>
    </row>
    <row r="21" spans="2:13" x14ac:dyDescent="0.25">
      <c r="B21" s="140" t="s">
        <v>321</v>
      </c>
      <c r="C21" s="145">
        <f>PRODUCT(1+C5,1+C6,1+C7,1+C8,1+C9,1+C10,1+C11,1+C12,1+C13,1+C14,1+C15,1+C16,1+C17,1+C18,1+C19)^(1/($B19-$B$11+1))-1</f>
        <v>9.7170237948636329E-2</v>
      </c>
      <c r="D21" s="145">
        <f t="shared" ref="D21:L21" si="0">PRODUCT(1+D5,1+D6,1+D7,1+D8,1+D9,1+D10,1+D11,1+D12,1+D13,1+D14,1+D15,1+D16,1+D17,1+D18,1+D19)^(1/($B19-$B$5+1))-1</f>
        <v>9.8575880186668297E-2</v>
      </c>
      <c r="E21" s="145">
        <f t="shared" si="0"/>
        <v>4.6699393172281667E-2</v>
      </c>
      <c r="F21" s="145">
        <f t="shared" si="0"/>
        <v>0.11967439590452744</v>
      </c>
      <c r="G21" s="145">
        <f t="shared" si="0"/>
        <v>5.0789102239960693E-2</v>
      </c>
      <c r="H21" s="145">
        <f t="shared" si="0"/>
        <v>7.9123082242651854E-2</v>
      </c>
      <c r="I21" s="145">
        <f t="shared" si="0"/>
        <v>6.2689105485407737E-2</v>
      </c>
      <c r="J21" s="145">
        <f t="shared" si="0"/>
        <v>2.3254351070792767E-2</v>
      </c>
      <c r="K21" s="145">
        <f t="shared" si="0"/>
        <v>8.9714673631700714E-2</v>
      </c>
      <c r="L21" s="145">
        <f t="shared" si="0"/>
        <v>0.11499505779337427</v>
      </c>
    </row>
    <row r="24" spans="2:13" x14ac:dyDescent="0.25">
      <c r="G24" s="138" t="s">
        <v>1136</v>
      </c>
    </row>
    <row r="26" spans="2:13" x14ac:dyDescent="0.25">
      <c r="M26" s="161"/>
    </row>
  </sheetData>
  <mergeCells count="3">
    <mergeCell ref="B3:B4"/>
    <mergeCell ref="C3:H3"/>
    <mergeCell ref="J3:L3"/>
  </mergeCells>
  <phoneticPr fontId="3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1"/>
  <sheetViews>
    <sheetView zoomScaleSheetLayoutView="100" workbookViewId="0">
      <pane ySplit="1" topLeftCell="A74" activePane="bottomLeft" state="frozen"/>
      <selection pane="bottomLeft" activeCell="I93" sqref="I93"/>
    </sheetView>
  </sheetViews>
  <sheetFormatPr defaultRowHeight="15.6" x14ac:dyDescent="0.25"/>
  <cols>
    <col min="1" max="1" width="11.59765625" style="24" customWidth="1"/>
    <col min="2" max="3" width="9" style="24"/>
    <col min="4" max="4" width="10.3984375" style="24" bestFit="1" customWidth="1"/>
    <col min="5" max="5" width="11.5" style="24" bestFit="1" customWidth="1"/>
    <col min="6" max="6" width="10.3984375" bestFit="1" customWidth="1"/>
    <col min="8" max="9" width="10.3984375" bestFit="1" customWidth="1"/>
    <col min="10" max="10" width="9.8984375" customWidth="1"/>
    <col min="11" max="11" width="12.59765625" bestFit="1" customWidth="1"/>
    <col min="12" max="13" width="10.3984375" bestFit="1" customWidth="1"/>
    <col min="14" max="14" width="8.3984375" customWidth="1"/>
    <col min="15" max="15" width="8.59765625" style="37" customWidth="1"/>
  </cols>
  <sheetData>
    <row r="1" spans="1:11" ht="14.25" customHeight="1" x14ac:dyDescent="0.25">
      <c r="A1" s="32" t="s">
        <v>9</v>
      </c>
      <c r="B1" s="32" t="s">
        <v>10</v>
      </c>
      <c r="C1" s="32" t="s">
        <v>11</v>
      </c>
      <c r="D1" s="32" t="s">
        <v>12</v>
      </c>
      <c r="E1" s="32" t="s">
        <v>13</v>
      </c>
      <c r="K1" t="e">
        <f>SUM(K2:K893)</f>
        <v>#REF!</v>
      </c>
    </row>
    <row r="2" spans="1:11" x14ac:dyDescent="0.25">
      <c r="A2" s="38" t="s">
        <v>14</v>
      </c>
      <c r="B2" s="38" t="s">
        <v>15</v>
      </c>
      <c r="C2" s="38">
        <v>0</v>
      </c>
      <c r="D2" s="38">
        <v>0</v>
      </c>
      <c r="E2" s="38">
        <v>113100</v>
      </c>
    </row>
    <row r="3" spans="1:11" ht="13.5" customHeight="1" x14ac:dyDescent="0.25">
      <c r="A3" s="38" t="s">
        <v>14</v>
      </c>
      <c r="B3" s="38" t="s">
        <v>16</v>
      </c>
      <c r="C3" s="38">
        <v>3000</v>
      </c>
      <c r="D3" s="38">
        <v>37.700000000000003</v>
      </c>
      <c r="E3" s="38">
        <f>-C3*D3</f>
        <v>-113100.00000000001</v>
      </c>
    </row>
    <row r="4" spans="1:11" x14ac:dyDescent="0.25">
      <c r="A4" s="39" t="s">
        <v>17</v>
      </c>
      <c r="B4" s="39" t="s">
        <v>15</v>
      </c>
      <c r="C4" s="39">
        <v>0</v>
      </c>
      <c r="D4" s="39">
        <v>0</v>
      </c>
      <c r="E4" s="39">
        <v>29420.02</v>
      </c>
      <c r="G4" s="40"/>
      <c r="H4" s="40"/>
    </row>
    <row r="5" spans="1:11" ht="14.25" customHeight="1" x14ac:dyDescent="0.25">
      <c r="A5" s="41" t="s">
        <v>18</v>
      </c>
      <c r="B5" s="41" t="s">
        <v>19</v>
      </c>
      <c r="C5" s="41">
        <v>1000</v>
      </c>
      <c r="D5" s="41">
        <v>6.18</v>
      </c>
      <c r="E5" s="41">
        <v>-6180</v>
      </c>
      <c r="G5" s="40"/>
      <c r="H5" s="40"/>
    </row>
    <row r="6" spans="1:11" x14ac:dyDescent="0.25">
      <c r="A6" s="39" t="s">
        <v>18</v>
      </c>
      <c r="B6" s="39" t="s">
        <v>20</v>
      </c>
      <c r="C6" s="39">
        <v>500</v>
      </c>
      <c r="D6" s="39">
        <v>25.8367</v>
      </c>
      <c r="E6" s="39">
        <v>-12925.35</v>
      </c>
      <c r="G6" s="40"/>
      <c r="H6" s="40"/>
    </row>
    <row r="7" spans="1:11" ht="14.25" customHeight="1" x14ac:dyDescent="0.25">
      <c r="A7" s="39" t="s">
        <v>21</v>
      </c>
      <c r="B7" s="39" t="s">
        <v>22</v>
      </c>
      <c r="C7" s="39">
        <v>200</v>
      </c>
      <c r="D7" s="39">
        <v>31.86</v>
      </c>
      <c r="E7" s="39">
        <v>-6379</v>
      </c>
      <c r="G7" s="40"/>
      <c r="H7" s="40"/>
    </row>
    <row r="8" spans="1:11" x14ac:dyDescent="0.25">
      <c r="A8" s="39" t="s">
        <v>21</v>
      </c>
      <c r="B8" s="39" t="s">
        <v>23</v>
      </c>
      <c r="C8" s="39">
        <v>80</v>
      </c>
      <c r="D8" s="39">
        <v>44.89</v>
      </c>
      <c r="E8" s="39">
        <v>-3598.2</v>
      </c>
    </row>
    <row r="9" spans="1:11" x14ac:dyDescent="0.25">
      <c r="A9" s="42" t="s">
        <v>24</v>
      </c>
      <c r="B9" s="42" t="s">
        <v>20</v>
      </c>
      <c r="C9" s="42">
        <v>-500</v>
      </c>
      <c r="D9" s="42">
        <v>21.551100000000002</v>
      </c>
      <c r="E9" s="42">
        <v>10768.34</v>
      </c>
      <c r="G9" s="40"/>
      <c r="H9" s="40"/>
    </row>
    <row r="10" spans="1:11" x14ac:dyDescent="0.25">
      <c r="A10" s="42" t="s">
        <v>25</v>
      </c>
      <c r="B10" s="42" t="s">
        <v>15</v>
      </c>
      <c r="C10" s="42">
        <v>0</v>
      </c>
      <c r="D10" s="42">
        <v>0</v>
      </c>
      <c r="E10" s="42">
        <v>28985</v>
      </c>
      <c r="G10" s="40"/>
      <c r="H10" s="40"/>
    </row>
    <row r="11" spans="1:11" ht="14.25" customHeight="1" x14ac:dyDescent="0.25">
      <c r="A11" s="42" t="s">
        <v>26</v>
      </c>
      <c r="B11" s="42" t="s">
        <v>27</v>
      </c>
      <c r="C11" s="42">
        <v>280</v>
      </c>
      <c r="D11" s="42">
        <v>140.72280000000001</v>
      </c>
      <c r="E11" s="42">
        <v>-39409.379999999997</v>
      </c>
      <c r="G11" s="40"/>
      <c r="H11" s="40"/>
    </row>
    <row r="12" spans="1:11" ht="14.25" customHeight="1" x14ac:dyDescent="0.25">
      <c r="A12" s="43" t="s">
        <v>28</v>
      </c>
      <c r="B12" s="43" t="s">
        <v>16</v>
      </c>
      <c r="C12" s="43">
        <v>0</v>
      </c>
      <c r="D12" s="43">
        <v>0</v>
      </c>
      <c r="E12" s="43">
        <v>2940</v>
      </c>
    </row>
    <row r="13" spans="1:11" x14ac:dyDescent="0.25">
      <c r="A13" s="43" t="s">
        <v>29</v>
      </c>
      <c r="B13" s="43" t="s">
        <v>22</v>
      </c>
      <c r="C13" s="43">
        <v>-200</v>
      </c>
      <c r="D13" s="43">
        <v>4.0999999999999996</v>
      </c>
      <c r="E13" s="43">
        <v>812.97</v>
      </c>
    </row>
    <row r="14" spans="1:11" x14ac:dyDescent="0.25">
      <c r="A14" s="43" t="s">
        <v>29</v>
      </c>
      <c r="B14" s="43" t="s">
        <v>23</v>
      </c>
      <c r="C14" s="43">
        <v>-80</v>
      </c>
      <c r="D14" s="43">
        <v>22</v>
      </c>
      <c r="E14" s="43">
        <v>1752.96</v>
      </c>
    </row>
    <row r="15" spans="1:11" ht="14.25" customHeight="1" x14ac:dyDescent="0.25">
      <c r="A15" s="43" t="s">
        <v>29</v>
      </c>
      <c r="B15" s="43" t="s">
        <v>16</v>
      </c>
      <c r="C15" s="43">
        <v>-3000</v>
      </c>
      <c r="D15" s="43">
        <v>53.501519999999999</v>
      </c>
      <c r="E15" s="43">
        <v>160493.95000000001</v>
      </c>
    </row>
    <row r="16" spans="1:11" x14ac:dyDescent="0.25">
      <c r="A16" s="43" t="s">
        <v>30</v>
      </c>
      <c r="B16" s="43" t="s">
        <v>27</v>
      </c>
      <c r="C16" s="43">
        <v>-280</v>
      </c>
      <c r="D16" s="43">
        <v>90.57</v>
      </c>
      <c r="E16" s="43">
        <v>25352.03</v>
      </c>
    </row>
    <row r="17" spans="1:10" ht="14.25" customHeight="1" x14ac:dyDescent="0.25">
      <c r="A17" s="43" t="s">
        <v>30</v>
      </c>
      <c r="B17" s="43" t="s">
        <v>31</v>
      </c>
      <c r="C17" s="43">
        <v>-50</v>
      </c>
      <c r="D17" s="43">
        <v>421.17</v>
      </c>
      <c r="E17" s="43">
        <v>21051.02</v>
      </c>
    </row>
    <row r="18" spans="1:10" x14ac:dyDescent="0.25">
      <c r="A18" s="43" t="s">
        <v>30</v>
      </c>
      <c r="B18" s="43" t="s">
        <v>32</v>
      </c>
      <c r="C18" s="43">
        <v>2000</v>
      </c>
      <c r="D18" s="43">
        <v>18.877099999999999</v>
      </c>
      <c r="E18" s="43">
        <v>-37761.199999999997</v>
      </c>
    </row>
    <row r="19" spans="1:10" x14ac:dyDescent="0.25">
      <c r="A19" s="43" t="s">
        <v>30</v>
      </c>
      <c r="B19" s="43" t="s">
        <v>33</v>
      </c>
      <c r="C19" s="43">
        <v>1000</v>
      </c>
      <c r="D19" s="43">
        <v>34.200940000000003</v>
      </c>
      <c r="E19" s="43">
        <v>-34207.94</v>
      </c>
    </row>
    <row r="20" spans="1:10" ht="14.25" customHeight="1" x14ac:dyDescent="0.25">
      <c r="A20" s="43" t="s">
        <v>30</v>
      </c>
      <c r="B20" s="43" t="s">
        <v>19</v>
      </c>
      <c r="C20" s="43">
        <v>-1000</v>
      </c>
      <c r="D20" s="43">
        <v>6.5201000000000002</v>
      </c>
      <c r="E20" s="43">
        <v>6512.95</v>
      </c>
    </row>
    <row r="21" spans="1:10" x14ac:dyDescent="0.25">
      <c r="A21" s="43" t="s">
        <v>34</v>
      </c>
      <c r="B21" s="43" t="s">
        <v>32</v>
      </c>
      <c r="C21" s="43">
        <v>2000</v>
      </c>
      <c r="D21" s="43">
        <v>18.035374999999998</v>
      </c>
      <c r="E21" s="43">
        <v>-36077.75</v>
      </c>
    </row>
    <row r="22" spans="1:10" x14ac:dyDescent="0.25">
      <c r="A22" s="43" t="s">
        <v>35</v>
      </c>
      <c r="B22" s="43" t="s">
        <v>32</v>
      </c>
      <c r="C22" s="43">
        <v>-4000</v>
      </c>
      <c r="D22" s="43">
        <v>17.96</v>
      </c>
      <c r="E22" s="43">
        <v>71831.360000000001</v>
      </c>
    </row>
    <row r="23" spans="1:10" x14ac:dyDescent="0.25">
      <c r="A23" s="43" t="s">
        <v>36</v>
      </c>
      <c r="B23" s="43" t="s">
        <v>37</v>
      </c>
      <c r="C23" s="43">
        <v>-500</v>
      </c>
      <c r="D23" s="43">
        <v>56.095999999999997</v>
      </c>
      <c r="E23" s="43">
        <v>28040.36</v>
      </c>
    </row>
    <row r="24" spans="1:10" ht="14.25" customHeight="1" x14ac:dyDescent="0.25">
      <c r="A24" s="43" t="s">
        <v>38</v>
      </c>
      <c r="B24" s="43" t="s">
        <v>37</v>
      </c>
      <c r="C24" s="43">
        <v>-500</v>
      </c>
      <c r="D24" s="43">
        <v>59.01</v>
      </c>
      <c r="E24" s="43">
        <v>29497.48</v>
      </c>
    </row>
    <row r="25" spans="1:10" x14ac:dyDescent="0.25">
      <c r="A25" s="43" t="s">
        <v>39</v>
      </c>
      <c r="B25" s="43" t="s">
        <v>40</v>
      </c>
      <c r="C25" s="43">
        <v>200</v>
      </c>
      <c r="D25" s="43">
        <v>102.59990000000001</v>
      </c>
      <c r="E25" s="43">
        <v>-20526.98</v>
      </c>
    </row>
    <row r="26" spans="1:10" x14ac:dyDescent="0.25">
      <c r="A26" s="43" t="s">
        <v>41</v>
      </c>
      <c r="B26" s="43" t="s">
        <v>33</v>
      </c>
      <c r="C26" s="43">
        <v>-1000</v>
      </c>
      <c r="D26" s="43">
        <v>41.262</v>
      </c>
      <c r="E26" s="43">
        <v>41254.28</v>
      </c>
    </row>
    <row r="27" spans="1:10" x14ac:dyDescent="0.25">
      <c r="A27" s="43" t="s">
        <v>41</v>
      </c>
      <c r="B27" s="43" t="s">
        <v>37</v>
      </c>
      <c r="C27" s="43">
        <v>-1000</v>
      </c>
      <c r="D27" s="43">
        <v>51.602499999999999</v>
      </c>
      <c r="E27" s="43">
        <v>51594.6</v>
      </c>
    </row>
    <row r="28" spans="1:10" x14ac:dyDescent="0.25">
      <c r="A28" s="43" t="s">
        <v>42</v>
      </c>
      <c r="B28" s="43" t="s">
        <v>15</v>
      </c>
      <c r="C28" s="43">
        <v>0</v>
      </c>
      <c r="D28" s="43">
        <v>0</v>
      </c>
      <c r="E28" s="43">
        <v>68571.240000000005</v>
      </c>
    </row>
    <row r="29" spans="1:10" ht="14.25" customHeight="1" x14ac:dyDescent="0.25">
      <c r="A29" s="43" t="s">
        <v>28</v>
      </c>
      <c r="B29" s="43" t="s">
        <v>16</v>
      </c>
      <c r="C29" s="43">
        <v>1164</v>
      </c>
      <c r="D29" s="43">
        <v>58.91</v>
      </c>
      <c r="E29" s="43">
        <f>-C29*D29</f>
        <v>-68571.239999999991</v>
      </c>
    </row>
    <row r="30" spans="1:10" x14ac:dyDescent="0.25">
      <c r="A30" s="43" t="s">
        <v>43</v>
      </c>
      <c r="B30" s="43" t="s">
        <v>40</v>
      </c>
      <c r="C30" s="43">
        <v>400</v>
      </c>
      <c r="D30" s="43">
        <v>124.17</v>
      </c>
      <c r="E30" s="43">
        <v>-49675</v>
      </c>
    </row>
    <row r="31" spans="1:10" x14ac:dyDescent="0.25">
      <c r="A31" s="43" t="s">
        <v>44</v>
      </c>
      <c r="B31" s="43" t="s">
        <v>31</v>
      </c>
      <c r="C31" s="43">
        <v>50</v>
      </c>
      <c r="D31" s="43">
        <v>512.8999</v>
      </c>
      <c r="E31" s="43">
        <v>-25652</v>
      </c>
      <c r="G31" t="s">
        <v>33</v>
      </c>
      <c r="H31">
        <v>1000</v>
      </c>
      <c r="I31">
        <v>79.78</v>
      </c>
      <c r="J31">
        <f>H31*I31</f>
        <v>79780</v>
      </c>
    </row>
    <row r="32" spans="1:10" x14ac:dyDescent="0.25">
      <c r="A32" s="43" t="s">
        <v>45</v>
      </c>
      <c r="B32" s="43" t="s">
        <v>37</v>
      </c>
      <c r="C32" s="43">
        <v>1000</v>
      </c>
      <c r="D32" s="43">
        <v>91.39</v>
      </c>
      <c r="E32" s="43">
        <v>-91397</v>
      </c>
      <c r="G32" t="s">
        <v>37</v>
      </c>
      <c r="H32">
        <v>-1000</v>
      </c>
      <c r="I32">
        <v>82.68</v>
      </c>
      <c r="J32">
        <f>H32*I32</f>
        <v>-82680</v>
      </c>
    </row>
    <row r="33" spans="1:11" ht="14.25" customHeight="1" x14ac:dyDescent="0.25">
      <c r="A33" s="43" t="s">
        <v>46</v>
      </c>
      <c r="B33" s="43" t="s">
        <v>40</v>
      </c>
      <c r="C33" s="43">
        <v>-600</v>
      </c>
      <c r="D33" s="43">
        <v>140.06496000000001</v>
      </c>
      <c r="E33" s="43">
        <v>84030.47</v>
      </c>
      <c r="G33" t="s">
        <v>47</v>
      </c>
      <c r="H33">
        <v>0</v>
      </c>
      <c r="I33">
        <v>0</v>
      </c>
      <c r="J33">
        <v>226882</v>
      </c>
    </row>
    <row r="34" spans="1:11" x14ac:dyDescent="0.25">
      <c r="A34" s="43" t="s">
        <v>48</v>
      </c>
      <c r="B34" s="43" t="s">
        <v>16</v>
      </c>
      <c r="C34" s="43">
        <v>-1164</v>
      </c>
      <c r="D34" s="43">
        <v>66.017757000000003</v>
      </c>
      <c r="E34" s="43">
        <v>76836.320000000007</v>
      </c>
      <c r="G34" t="s">
        <v>3</v>
      </c>
      <c r="H34">
        <v>0</v>
      </c>
      <c r="I34">
        <v>0</v>
      </c>
      <c r="J34">
        <v>68571.240000000005</v>
      </c>
    </row>
    <row r="35" spans="1:11" x14ac:dyDescent="0.25">
      <c r="A35" s="43" t="s">
        <v>49</v>
      </c>
      <c r="B35" s="43" t="s">
        <v>33</v>
      </c>
      <c r="C35" s="43">
        <v>500</v>
      </c>
      <c r="D35" s="43">
        <v>81.685100000000006</v>
      </c>
      <c r="E35" s="43">
        <v>-40849.550000000003</v>
      </c>
      <c r="G35" t="s">
        <v>50</v>
      </c>
      <c r="H35">
        <v>0</v>
      </c>
      <c r="I35">
        <v>0</v>
      </c>
      <c r="J35">
        <f>SUM(J31:J33)</f>
        <v>223982</v>
      </c>
    </row>
    <row r="36" spans="1:11" x14ac:dyDescent="0.25">
      <c r="A36" s="43" t="s">
        <v>51</v>
      </c>
      <c r="B36" s="43" t="s">
        <v>33</v>
      </c>
      <c r="C36" s="43">
        <v>500</v>
      </c>
      <c r="D36" s="43">
        <v>79.290000000000006</v>
      </c>
      <c r="E36" s="43">
        <v>-39652</v>
      </c>
      <c r="G36" t="s">
        <v>1</v>
      </c>
      <c r="H36">
        <v>0</v>
      </c>
      <c r="I36">
        <v>0</v>
      </c>
      <c r="J36" s="37" t="e">
        <f>J35/(#REF!+J34)-1</f>
        <v>#REF!</v>
      </c>
      <c r="K36" t="e">
        <f>J35-#REF!-J34</f>
        <v>#REF!</v>
      </c>
    </row>
    <row r="37" spans="1:11" ht="14.25" customHeight="1" x14ac:dyDescent="0.25">
      <c r="A37" s="44" t="s">
        <v>52</v>
      </c>
      <c r="B37" s="44" t="s">
        <v>37</v>
      </c>
      <c r="C37" s="44">
        <v>1000</v>
      </c>
      <c r="D37" s="44">
        <v>86.245149999999995</v>
      </c>
      <c r="E37" s="44">
        <v>-86252.15</v>
      </c>
    </row>
    <row r="38" spans="1:11" x14ac:dyDescent="0.25">
      <c r="A38" s="44" t="s">
        <v>52</v>
      </c>
      <c r="B38" s="44" t="s">
        <v>32</v>
      </c>
      <c r="C38" s="44">
        <v>1000</v>
      </c>
      <c r="D38" s="44">
        <v>60.111280000000001</v>
      </c>
      <c r="E38" s="44">
        <v>-60118.28</v>
      </c>
    </row>
    <row r="39" spans="1:11" x14ac:dyDescent="0.25">
      <c r="A39" s="44" t="s">
        <v>53</v>
      </c>
      <c r="B39" s="44" t="s">
        <v>33</v>
      </c>
      <c r="C39" s="44">
        <v>1000</v>
      </c>
      <c r="D39" s="44">
        <v>84.737300000000005</v>
      </c>
      <c r="E39" s="44">
        <v>-84744.3</v>
      </c>
    </row>
    <row r="40" spans="1:11" ht="14.25" customHeight="1" x14ac:dyDescent="0.25">
      <c r="A40" s="44" t="s">
        <v>53</v>
      </c>
      <c r="B40" s="44" t="s">
        <v>40</v>
      </c>
      <c r="C40" s="44">
        <v>200</v>
      </c>
      <c r="D40" s="44">
        <v>144.6</v>
      </c>
      <c r="E40" s="44">
        <v>-28927</v>
      </c>
    </row>
    <row r="41" spans="1:11" x14ac:dyDescent="0.25">
      <c r="A41" s="44" t="s">
        <v>54</v>
      </c>
      <c r="B41" s="44" t="s">
        <v>55</v>
      </c>
      <c r="C41" s="44">
        <v>1000</v>
      </c>
      <c r="D41" s="44">
        <v>34.726349999999996</v>
      </c>
      <c r="E41" s="44">
        <v>-34733.35</v>
      </c>
    </row>
    <row r="42" spans="1:11" x14ac:dyDescent="0.25">
      <c r="A42" s="44" t="s">
        <v>56</v>
      </c>
      <c r="B42" s="44" t="s">
        <v>57</v>
      </c>
      <c r="C42" s="44">
        <v>500</v>
      </c>
      <c r="D42" s="44">
        <v>91.331999999999994</v>
      </c>
      <c r="E42" s="44">
        <v>-45673</v>
      </c>
    </row>
    <row r="43" spans="1:11" x14ac:dyDescent="0.25">
      <c r="A43" s="44" t="s">
        <v>58</v>
      </c>
      <c r="B43" s="44" t="s">
        <v>32</v>
      </c>
      <c r="C43" s="44">
        <v>-1000</v>
      </c>
      <c r="D43" s="44">
        <v>64.000699999999995</v>
      </c>
      <c r="E43" s="44">
        <v>63992.58</v>
      </c>
    </row>
    <row r="44" spans="1:11" x14ac:dyDescent="0.25">
      <c r="A44" s="44" t="s">
        <v>58</v>
      </c>
      <c r="B44" s="44" t="s">
        <v>33</v>
      </c>
      <c r="C44" s="44">
        <v>-2000</v>
      </c>
      <c r="D44" s="44">
        <v>88.094735</v>
      </c>
      <c r="E44" s="44">
        <v>176179.31</v>
      </c>
    </row>
    <row r="45" spans="1:11" ht="14.25" customHeight="1" x14ac:dyDescent="0.25">
      <c r="A45" s="44" t="s">
        <v>58</v>
      </c>
      <c r="B45" s="44" t="s">
        <v>55</v>
      </c>
      <c r="C45" s="44">
        <v>-1000</v>
      </c>
      <c r="D45" s="44">
        <v>32.11551</v>
      </c>
      <c r="E45" s="44">
        <v>32107.94</v>
      </c>
    </row>
    <row r="46" spans="1:11" x14ac:dyDescent="0.25">
      <c r="A46" s="44" t="s">
        <v>58</v>
      </c>
      <c r="B46" s="44" t="s">
        <v>40</v>
      </c>
      <c r="C46" s="44">
        <v>-200</v>
      </c>
      <c r="D46" s="44">
        <v>173.65799999999999</v>
      </c>
      <c r="E46" s="44">
        <v>34723.99</v>
      </c>
    </row>
    <row r="47" spans="1:11" ht="14.25" customHeight="1" x14ac:dyDescent="0.25">
      <c r="A47" s="44" t="s">
        <v>58</v>
      </c>
      <c r="B47" s="44" t="s">
        <v>57</v>
      </c>
      <c r="C47" s="44">
        <v>-500</v>
      </c>
      <c r="D47" s="44">
        <v>83.994600000000005</v>
      </c>
      <c r="E47" s="44">
        <v>41989.54</v>
      </c>
    </row>
    <row r="48" spans="1:11" x14ac:dyDescent="0.25">
      <c r="A48" s="44" t="s">
        <v>58</v>
      </c>
      <c r="B48" s="44" t="s">
        <v>59</v>
      </c>
      <c r="C48" s="44">
        <v>2000</v>
      </c>
      <c r="D48" s="44">
        <v>16.108630000000002</v>
      </c>
      <c r="E48" s="44">
        <v>-32224.26</v>
      </c>
    </row>
    <row r="49" spans="1:5" x14ac:dyDescent="0.25">
      <c r="A49" s="44" t="s">
        <v>58</v>
      </c>
      <c r="B49" s="44" t="s">
        <v>40</v>
      </c>
      <c r="C49" s="44">
        <v>500</v>
      </c>
      <c r="D49" s="44">
        <v>174.89</v>
      </c>
      <c r="E49" s="44">
        <v>-87452</v>
      </c>
    </row>
    <row r="50" spans="1:5" x14ac:dyDescent="0.25">
      <c r="A50" s="44" t="s">
        <v>58</v>
      </c>
      <c r="B50" s="44" t="s">
        <v>33</v>
      </c>
      <c r="C50" s="44">
        <v>1000</v>
      </c>
      <c r="D50" s="44">
        <v>92.835700000000003</v>
      </c>
      <c r="E50" s="44">
        <v>-92842.7</v>
      </c>
    </row>
    <row r="51" spans="1:5" x14ac:dyDescent="0.25">
      <c r="A51" s="44" t="s">
        <v>60</v>
      </c>
      <c r="B51" s="44" t="s">
        <v>59</v>
      </c>
      <c r="C51" s="44">
        <v>2000</v>
      </c>
      <c r="D51" s="44">
        <v>16.8689</v>
      </c>
      <c r="E51" s="44">
        <v>-33744.800000000003</v>
      </c>
    </row>
    <row r="52" spans="1:5" ht="14.25" customHeight="1" x14ac:dyDescent="0.25">
      <c r="A52" s="44" t="s">
        <v>61</v>
      </c>
      <c r="B52" s="44" t="s">
        <v>62</v>
      </c>
      <c r="C52" s="44">
        <v>1000</v>
      </c>
      <c r="D52" s="44">
        <v>71.31823</v>
      </c>
      <c r="E52" s="44">
        <v>-71325.23</v>
      </c>
    </row>
    <row r="53" spans="1:5" x14ac:dyDescent="0.25">
      <c r="A53" s="44" t="s">
        <v>61</v>
      </c>
      <c r="B53" s="44" t="s">
        <v>59</v>
      </c>
      <c r="C53" s="44">
        <v>-400</v>
      </c>
      <c r="D53" s="44">
        <v>14</v>
      </c>
      <c r="E53" s="44">
        <v>5592.9</v>
      </c>
    </row>
    <row r="54" spans="1:5" x14ac:dyDescent="0.25">
      <c r="A54" s="44" t="s">
        <v>61</v>
      </c>
      <c r="B54" s="44" t="s">
        <v>59</v>
      </c>
      <c r="C54" s="44">
        <v>-3600</v>
      </c>
      <c r="D54" s="44">
        <v>13.631240999999999</v>
      </c>
      <c r="E54" s="44">
        <v>49064.59</v>
      </c>
    </row>
    <row r="55" spans="1:5" x14ac:dyDescent="0.25">
      <c r="A55" s="44" t="s">
        <v>63</v>
      </c>
      <c r="B55" s="44" t="s">
        <v>37</v>
      </c>
      <c r="C55" s="44">
        <v>-300</v>
      </c>
      <c r="D55" s="44">
        <v>70.060199999999995</v>
      </c>
      <c r="E55" s="44">
        <v>21010.69</v>
      </c>
    </row>
    <row r="56" spans="1:5" ht="14.25" customHeight="1" x14ac:dyDescent="0.25">
      <c r="A56" s="44" t="s">
        <v>64</v>
      </c>
      <c r="B56" s="44" t="s">
        <v>37</v>
      </c>
      <c r="C56" s="44">
        <v>-300</v>
      </c>
      <c r="D56" s="44">
        <v>65.510199999999998</v>
      </c>
      <c r="E56" s="44">
        <v>19645.71</v>
      </c>
    </row>
    <row r="57" spans="1:5" x14ac:dyDescent="0.25">
      <c r="A57" s="44" t="s">
        <v>65</v>
      </c>
      <c r="B57" s="44" t="s">
        <v>32</v>
      </c>
      <c r="C57" s="44">
        <v>500</v>
      </c>
      <c r="D57" s="44">
        <v>63.76</v>
      </c>
      <c r="E57" s="44">
        <v>-31887</v>
      </c>
    </row>
    <row r="58" spans="1:5" x14ac:dyDescent="0.25">
      <c r="A58" s="44" t="s">
        <v>66</v>
      </c>
      <c r="B58" s="44" t="s">
        <v>32</v>
      </c>
      <c r="C58" s="44">
        <v>-21</v>
      </c>
      <c r="D58" s="44">
        <v>63.82</v>
      </c>
      <c r="E58" s="44">
        <v>1308.19</v>
      </c>
    </row>
    <row r="59" spans="1:5" ht="14.25" customHeight="1" x14ac:dyDescent="0.25">
      <c r="A59" s="44" t="s">
        <v>67</v>
      </c>
      <c r="B59" s="44" t="s">
        <v>37</v>
      </c>
      <c r="C59" s="44">
        <v>600</v>
      </c>
      <c r="D59" s="44">
        <v>70.011049999999997</v>
      </c>
      <c r="E59" s="44">
        <v>-42013.63</v>
      </c>
    </row>
    <row r="60" spans="1:5" x14ac:dyDescent="0.25">
      <c r="A60" s="44" t="s">
        <v>67</v>
      </c>
      <c r="B60" s="44" t="s">
        <v>57</v>
      </c>
      <c r="C60" s="44">
        <v>500</v>
      </c>
      <c r="D60" s="44">
        <v>79.98</v>
      </c>
      <c r="E60" s="44">
        <v>-39997</v>
      </c>
    </row>
    <row r="61" spans="1:5" x14ac:dyDescent="0.25">
      <c r="A61" s="44" t="s">
        <v>68</v>
      </c>
      <c r="B61" s="44" t="s">
        <v>57</v>
      </c>
      <c r="C61" s="44">
        <v>-500</v>
      </c>
      <c r="D61" s="44">
        <v>80.25</v>
      </c>
      <c r="E61" s="44">
        <v>40117.300000000003</v>
      </c>
    </row>
    <row r="62" spans="1:5" x14ac:dyDescent="0.25">
      <c r="A62" s="44" t="s">
        <v>68</v>
      </c>
      <c r="B62" s="44" t="s">
        <v>33</v>
      </c>
      <c r="C62" s="44">
        <v>400</v>
      </c>
      <c r="D62" s="44">
        <v>105.60599999999999</v>
      </c>
      <c r="E62" s="44">
        <v>-42249.4</v>
      </c>
    </row>
    <row r="63" spans="1:5" x14ac:dyDescent="0.25">
      <c r="A63" s="44" t="s">
        <v>69</v>
      </c>
      <c r="B63" s="44" t="s">
        <v>33</v>
      </c>
      <c r="C63" s="44">
        <v>-400</v>
      </c>
      <c r="D63" s="44">
        <v>108.5239</v>
      </c>
      <c r="E63" s="44">
        <v>43401.8</v>
      </c>
    </row>
    <row r="64" spans="1:5" x14ac:dyDescent="0.25">
      <c r="A64" s="44" t="s">
        <v>70</v>
      </c>
      <c r="B64" s="44" t="s">
        <v>40</v>
      </c>
      <c r="C64" s="44">
        <v>-100</v>
      </c>
      <c r="D64" s="44">
        <v>238.44399999999999</v>
      </c>
      <c r="E64" s="44">
        <v>23836.98</v>
      </c>
    </row>
    <row r="65" spans="1:15" ht="14.25" customHeight="1" x14ac:dyDescent="0.25">
      <c r="A65" s="44" t="s">
        <v>71</v>
      </c>
      <c r="B65" s="44" t="s">
        <v>32</v>
      </c>
      <c r="C65" s="44">
        <v>521</v>
      </c>
      <c r="D65" s="44">
        <v>90</v>
      </c>
      <c r="E65" s="44">
        <v>-46897</v>
      </c>
    </row>
    <row r="66" spans="1:15" x14ac:dyDescent="0.25">
      <c r="A66" s="44" t="s">
        <v>72</v>
      </c>
      <c r="B66" s="44" t="s">
        <v>62</v>
      </c>
      <c r="C66" s="44">
        <v>-1000</v>
      </c>
      <c r="D66" s="44">
        <v>77.28</v>
      </c>
      <c r="E66" s="44">
        <v>77271.64</v>
      </c>
    </row>
    <row r="67" spans="1:15" x14ac:dyDescent="0.25">
      <c r="A67" s="44" t="s">
        <v>72</v>
      </c>
      <c r="B67" s="44" t="s">
        <v>15</v>
      </c>
      <c r="C67" s="44">
        <v>0</v>
      </c>
      <c r="D67" s="44">
        <v>0</v>
      </c>
      <c r="E67" s="44">
        <v>-1000</v>
      </c>
      <c r="F67" t="s">
        <v>73</v>
      </c>
    </row>
    <row r="68" spans="1:15" x14ac:dyDescent="0.25">
      <c r="A68" s="44" t="s">
        <v>74</v>
      </c>
      <c r="B68" s="44" t="s">
        <v>15</v>
      </c>
      <c r="C68" s="44">
        <v>0</v>
      </c>
      <c r="D68" s="44">
        <v>0</v>
      </c>
      <c r="E68" s="44">
        <f>1789*65.99</f>
        <v>118056.10999999999</v>
      </c>
      <c r="L68" t="s">
        <v>75</v>
      </c>
      <c r="M68" t="s">
        <v>76</v>
      </c>
    </row>
    <row r="69" spans="1:15" x14ac:dyDescent="0.25">
      <c r="A69" s="44" t="s">
        <v>74</v>
      </c>
      <c r="B69" s="44" t="s">
        <v>16</v>
      </c>
      <c r="C69" s="44">
        <v>1789</v>
      </c>
      <c r="D69" s="44">
        <v>65.989999999999995</v>
      </c>
      <c r="E69" s="44">
        <f>-C69*D69</f>
        <v>-118056.10999999999</v>
      </c>
      <c r="G69" t="s">
        <v>37</v>
      </c>
      <c r="L69">
        <f>J32</f>
        <v>-82680</v>
      </c>
      <c r="M69">
        <f>SUMIF(B37:B86,"SINA",E37:E86)</f>
        <v>-87609.37999999999</v>
      </c>
      <c r="N69">
        <f>M69-L69</f>
        <v>-4929.3799999999901</v>
      </c>
      <c r="O69" s="37">
        <f>-N69/L69</f>
        <v>-5.9619980648282417E-2</v>
      </c>
    </row>
    <row r="70" spans="1:15" x14ac:dyDescent="0.25">
      <c r="A70" s="44" t="s">
        <v>77</v>
      </c>
      <c r="B70" s="44" t="s">
        <v>78</v>
      </c>
      <c r="C70" s="44">
        <v>10</v>
      </c>
      <c r="D70" s="44">
        <v>4.4139999999999997</v>
      </c>
      <c r="E70" s="44">
        <v>-4414.8500000000004</v>
      </c>
      <c r="G70" t="s">
        <v>79</v>
      </c>
      <c r="H70">
        <v>5</v>
      </c>
      <c r="L70">
        <v>2460.9</v>
      </c>
      <c r="M70">
        <v>1239.0899999999999</v>
      </c>
      <c r="N70">
        <f>M70-L70</f>
        <v>-1221.8100000000002</v>
      </c>
      <c r="O70" s="37">
        <f>N70/L70</f>
        <v>-0.49648908935755215</v>
      </c>
    </row>
    <row r="71" spans="1:15" x14ac:dyDescent="0.25">
      <c r="A71" s="44" t="s">
        <v>80</v>
      </c>
      <c r="B71" s="44" t="s">
        <v>16</v>
      </c>
      <c r="C71" s="44">
        <v>-189</v>
      </c>
      <c r="D71" s="44">
        <v>68.92</v>
      </c>
      <c r="E71" s="44">
        <v>13018.05</v>
      </c>
      <c r="G71" t="s">
        <v>78</v>
      </c>
      <c r="H71">
        <v>10</v>
      </c>
      <c r="L71">
        <v>4414.8500000000004</v>
      </c>
      <c r="M71">
        <v>0</v>
      </c>
      <c r="N71">
        <f>M71-L71</f>
        <v>-4414.8500000000004</v>
      </c>
      <c r="O71" s="37">
        <f>N71/L71</f>
        <v>-1</v>
      </c>
    </row>
    <row r="72" spans="1:15" ht="14.25" customHeight="1" x14ac:dyDescent="0.25">
      <c r="A72" s="44" t="s">
        <v>81</v>
      </c>
      <c r="B72" s="44" t="s">
        <v>79</v>
      </c>
      <c r="C72" s="44">
        <v>5</v>
      </c>
      <c r="D72" s="44">
        <v>4.9000000000000004</v>
      </c>
      <c r="E72" s="44">
        <v>-2460.9</v>
      </c>
      <c r="G72" t="s">
        <v>82</v>
      </c>
      <c r="H72">
        <v>10</v>
      </c>
      <c r="L72">
        <v>2514.81</v>
      </c>
      <c r="M72">
        <v>1985.14</v>
      </c>
      <c r="N72">
        <f>M72-L72</f>
        <v>-529.66999999999985</v>
      </c>
      <c r="O72" s="37">
        <f>N72/L72</f>
        <v>-0.21062028542911784</v>
      </c>
    </row>
    <row r="73" spans="1:15" x14ac:dyDescent="0.25">
      <c r="A73" s="44" t="s">
        <v>83</v>
      </c>
      <c r="B73" s="44" t="s">
        <v>84</v>
      </c>
      <c r="C73" s="44">
        <v>10</v>
      </c>
      <c r="D73" s="44">
        <v>1.5</v>
      </c>
      <c r="E73" s="44">
        <v>-1514.85</v>
      </c>
      <c r="G73" t="s">
        <v>59</v>
      </c>
      <c r="H73">
        <v>4000</v>
      </c>
      <c r="L73">
        <v>65969</v>
      </c>
      <c r="M73">
        <v>54657</v>
      </c>
      <c r="N73">
        <f t="shared" ref="N73:N82" si="0">M73-L73</f>
        <v>-11312</v>
      </c>
      <c r="O73" s="37">
        <f t="shared" ref="O73:O82" si="1">N73/L73</f>
        <v>-0.17147448043778138</v>
      </c>
    </row>
    <row r="74" spans="1:15" ht="14.25" customHeight="1" x14ac:dyDescent="0.25">
      <c r="A74" s="44" t="s">
        <v>85</v>
      </c>
      <c r="B74" s="44" t="s">
        <v>40</v>
      </c>
      <c r="C74" s="44">
        <v>-50</v>
      </c>
      <c r="D74" s="44">
        <v>205.25</v>
      </c>
      <c r="E74" s="44">
        <v>10255.32</v>
      </c>
      <c r="G74" t="s">
        <v>62</v>
      </c>
      <c r="H74">
        <v>1000</v>
      </c>
      <c r="L74">
        <v>71325</v>
      </c>
      <c r="M74">
        <v>77271</v>
      </c>
      <c r="N74">
        <f t="shared" si="0"/>
        <v>5946</v>
      </c>
      <c r="O74" s="37">
        <f t="shared" si="1"/>
        <v>8.3364879074658255E-2</v>
      </c>
    </row>
    <row r="75" spans="1:15" x14ac:dyDescent="0.25">
      <c r="A75" s="44" t="s">
        <v>86</v>
      </c>
      <c r="B75" s="44" t="s">
        <v>33</v>
      </c>
      <c r="C75" s="44">
        <v>200</v>
      </c>
      <c r="D75" s="44">
        <v>75</v>
      </c>
      <c r="E75" s="44">
        <v>-15006.95</v>
      </c>
      <c r="G75" t="s">
        <v>55</v>
      </c>
      <c r="H75">
        <v>200</v>
      </c>
      <c r="I75">
        <v>34.43</v>
      </c>
      <c r="J75">
        <f t="shared" ref="J75:J80" si="2">H75*I75</f>
        <v>6886</v>
      </c>
      <c r="L75" t="e">
        <f>#N/A</f>
        <v>#N/A</v>
      </c>
      <c r="M75">
        <f>J75</f>
        <v>6886</v>
      </c>
      <c r="N75" t="e">
        <f t="shared" si="0"/>
        <v>#N/A</v>
      </c>
      <c r="O75" s="37" t="e">
        <f t="shared" si="1"/>
        <v>#N/A</v>
      </c>
    </row>
    <row r="76" spans="1:15" x14ac:dyDescent="0.25">
      <c r="A76" s="44" t="s">
        <v>86</v>
      </c>
      <c r="B76" s="44" t="s">
        <v>82</v>
      </c>
      <c r="C76" s="44">
        <v>10</v>
      </c>
      <c r="D76" s="44">
        <v>2.5</v>
      </c>
      <c r="E76" s="44">
        <v>-2514.81</v>
      </c>
      <c r="G76" t="s">
        <v>57</v>
      </c>
      <c r="H76">
        <v>700</v>
      </c>
      <c r="I76">
        <v>9.7899999999999991</v>
      </c>
      <c r="J76">
        <f t="shared" si="2"/>
        <v>6852.9999999999991</v>
      </c>
      <c r="L76" t="e">
        <f>#N/A</f>
        <v>#N/A</v>
      </c>
      <c r="M76">
        <f t="shared" ref="M76:M82" si="3">J76</f>
        <v>6852.9999999999991</v>
      </c>
      <c r="N76" t="e">
        <f t="shared" si="0"/>
        <v>#N/A</v>
      </c>
      <c r="O76" s="37" t="e">
        <f t="shared" si="1"/>
        <v>#N/A</v>
      </c>
    </row>
    <row r="77" spans="1:15" ht="14.25" customHeight="1" x14ac:dyDescent="0.25">
      <c r="A77" s="44" t="s">
        <v>87</v>
      </c>
      <c r="B77" s="44" t="s">
        <v>88</v>
      </c>
      <c r="C77" s="44">
        <v>3</v>
      </c>
      <c r="D77" s="44">
        <v>7.5</v>
      </c>
      <c r="E77" s="44">
        <v>-2259.31</v>
      </c>
      <c r="G77" t="s">
        <v>16</v>
      </c>
      <c r="H77">
        <v>1600</v>
      </c>
      <c r="I77">
        <v>78.36</v>
      </c>
      <c r="J77">
        <f t="shared" si="2"/>
        <v>125376</v>
      </c>
      <c r="L77" t="e">
        <f>#N/A</f>
        <v>#N/A</v>
      </c>
      <c r="M77">
        <f t="shared" si="3"/>
        <v>125376</v>
      </c>
      <c r="N77" t="e">
        <f t="shared" si="0"/>
        <v>#N/A</v>
      </c>
      <c r="O77" s="37" t="e">
        <f t="shared" si="1"/>
        <v>#N/A</v>
      </c>
    </row>
    <row r="78" spans="1:15" ht="14.25" customHeight="1" x14ac:dyDescent="0.25">
      <c r="A78" s="44" t="s">
        <v>89</v>
      </c>
      <c r="B78" s="44" t="s">
        <v>15</v>
      </c>
      <c r="C78" s="44">
        <v>0</v>
      </c>
      <c r="D78" s="44">
        <v>0</v>
      </c>
      <c r="E78" s="44">
        <v>544</v>
      </c>
      <c r="G78" t="s">
        <v>33</v>
      </c>
      <c r="H78">
        <v>1200</v>
      </c>
      <c r="I78">
        <v>92.04</v>
      </c>
      <c r="J78">
        <f t="shared" si="2"/>
        <v>110448.00000000001</v>
      </c>
      <c r="L78">
        <f>J31+(-SUMIF($B$37:$B$86,G78,$E$37:$E$86))</f>
        <v>95042.240000000005</v>
      </c>
      <c r="M78">
        <f t="shared" si="3"/>
        <v>110448.00000000001</v>
      </c>
      <c r="N78">
        <f t="shared" si="0"/>
        <v>15405.760000000009</v>
      </c>
      <c r="O78" s="37">
        <f t="shared" si="1"/>
        <v>0.16209382270451547</v>
      </c>
    </row>
    <row r="79" spans="1:15" x14ac:dyDescent="0.25">
      <c r="A79" s="44" t="s">
        <v>90</v>
      </c>
      <c r="B79" s="44" t="s">
        <v>57</v>
      </c>
      <c r="C79" s="44">
        <v>100</v>
      </c>
      <c r="D79" s="44">
        <v>10.42</v>
      </c>
      <c r="E79" s="44">
        <v>-1048.95</v>
      </c>
      <c r="G79" t="s">
        <v>32</v>
      </c>
      <c r="H79">
        <v>1000</v>
      </c>
      <c r="I79">
        <v>75.489999999999995</v>
      </c>
      <c r="J79">
        <f t="shared" si="2"/>
        <v>75490</v>
      </c>
      <c r="L79" t="e">
        <f>#N/A</f>
        <v>#N/A</v>
      </c>
      <c r="M79">
        <f t="shared" si="3"/>
        <v>75490</v>
      </c>
      <c r="N79" t="e">
        <f t="shared" si="0"/>
        <v>#N/A</v>
      </c>
      <c r="O79" s="37" t="e">
        <f t="shared" si="1"/>
        <v>#N/A</v>
      </c>
    </row>
    <row r="80" spans="1:15" x14ac:dyDescent="0.25">
      <c r="A80" s="44" t="s">
        <v>91</v>
      </c>
      <c r="B80" s="44" t="s">
        <v>79</v>
      </c>
      <c r="C80" s="44">
        <v>-5</v>
      </c>
      <c r="D80" s="44">
        <v>2.5</v>
      </c>
      <c r="E80" s="44">
        <v>1239.0899999999999</v>
      </c>
      <c r="G80" t="s">
        <v>40</v>
      </c>
      <c r="H80">
        <v>350</v>
      </c>
      <c r="I80">
        <v>240.06</v>
      </c>
      <c r="J80">
        <f t="shared" si="2"/>
        <v>84021</v>
      </c>
      <c r="L80" t="e">
        <f>#N/A</f>
        <v>#N/A</v>
      </c>
      <c r="M80">
        <f t="shared" si="3"/>
        <v>84021</v>
      </c>
      <c r="N80" t="e">
        <f t="shared" si="0"/>
        <v>#N/A</v>
      </c>
      <c r="O80" s="37" t="e">
        <f t="shared" si="1"/>
        <v>#N/A</v>
      </c>
    </row>
    <row r="81" spans="1:15" x14ac:dyDescent="0.25">
      <c r="A81" s="44" t="s">
        <v>91</v>
      </c>
      <c r="B81" s="44" t="s">
        <v>57</v>
      </c>
      <c r="C81" s="44">
        <v>600</v>
      </c>
      <c r="D81" s="44">
        <v>9.5</v>
      </c>
      <c r="E81" s="44">
        <v>-5706.95</v>
      </c>
      <c r="G81" t="s">
        <v>88</v>
      </c>
      <c r="H81">
        <v>3</v>
      </c>
      <c r="I81">
        <v>10.4</v>
      </c>
      <c r="J81">
        <f>H81*I81*100</f>
        <v>3120.0000000000005</v>
      </c>
      <c r="L81" t="e">
        <f>#N/A</f>
        <v>#N/A</v>
      </c>
      <c r="M81">
        <f t="shared" si="3"/>
        <v>3120.0000000000005</v>
      </c>
      <c r="N81" t="e">
        <f t="shared" si="0"/>
        <v>#N/A</v>
      </c>
      <c r="O81" s="37" t="e">
        <f t="shared" si="1"/>
        <v>#N/A</v>
      </c>
    </row>
    <row r="82" spans="1:15" ht="14.25" customHeight="1" x14ac:dyDescent="0.25">
      <c r="A82" s="44" t="s">
        <v>92</v>
      </c>
      <c r="B82" s="44" t="s">
        <v>15</v>
      </c>
      <c r="C82" s="44">
        <v>0</v>
      </c>
      <c r="D82" s="44">
        <v>0</v>
      </c>
      <c r="E82" s="44">
        <v>23260.97</v>
      </c>
      <c r="G82" t="s">
        <v>84</v>
      </c>
      <c r="H82">
        <v>10</v>
      </c>
      <c r="I82">
        <v>0.2</v>
      </c>
      <c r="J82">
        <f>H82*I82*100</f>
        <v>200</v>
      </c>
      <c r="L82" t="e">
        <f>#N/A</f>
        <v>#N/A</v>
      </c>
      <c r="M82">
        <f t="shared" si="3"/>
        <v>200</v>
      </c>
      <c r="N82" t="e">
        <f t="shared" si="0"/>
        <v>#N/A</v>
      </c>
      <c r="O82" s="37" t="e">
        <f t="shared" si="1"/>
        <v>#N/A</v>
      </c>
    </row>
    <row r="83" spans="1:15" ht="14.25" customHeight="1" x14ac:dyDescent="0.25">
      <c r="A83" s="44" t="s">
        <v>93</v>
      </c>
      <c r="B83" s="44" t="s">
        <v>78</v>
      </c>
      <c r="C83" s="44">
        <v>-10</v>
      </c>
      <c r="D83" s="44">
        <v>0</v>
      </c>
      <c r="E83" s="44">
        <v>0</v>
      </c>
      <c r="F83" t="s">
        <v>94</v>
      </c>
      <c r="G83" t="s">
        <v>47</v>
      </c>
      <c r="H83">
        <v>0</v>
      </c>
      <c r="I83">
        <v>0</v>
      </c>
      <c r="J83">
        <v>3613</v>
      </c>
    </row>
    <row r="84" spans="1:15" x14ac:dyDescent="0.25">
      <c r="A84" s="44" t="s">
        <v>95</v>
      </c>
      <c r="B84" s="44" t="s">
        <v>82</v>
      </c>
      <c r="C84" s="44">
        <v>-10</v>
      </c>
      <c r="D84" s="44">
        <v>2</v>
      </c>
      <c r="E84" s="44">
        <v>1985.14</v>
      </c>
      <c r="G84" t="s">
        <v>3</v>
      </c>
      <c r="H84">
        <v>0</v>
      </c>
      <c r="I84">
        <v>0</v>
      </c>
      <c r="J84">
        <f>118056+23260</f>
        <v>141316</v>
      </c>
    </row>
    <row r="85" spans="1:15" x14ac:dyDescent="0.25">
      <c r="A85" s="44" t="s">
        <v>96</v>
      </c>
      <c r="B85" s="44" t="s">
        <v>55</v>
      </c>
      <c r="C85" s="44">
        <v>200</v>
      </c>
      <c r="D85" s="44">
        <v>32.68</v>
      </c>
      <c r="E85" s="44">
        <v>-6543.94</v>
      </c>
      <c r="G85" t="s">
        <v>50</v>
      </c>
      <c r="J85">
        <f>SUM(J75:J83)</f>
        <v>416007</v>
      </c>
    </row>
    <row r="86" spans="1:15" x14ac:dyDescent="0.25">
      <c r="A86" s="44" t="s">
        <v>97</v>
      </c>
      <c r="B86" s="44" t="s">
        <v>15</v>
      </c>
      <c r="C86" s="44">
        <v>0</v>
      </c>
      <c r="D86" s="44">
        <v>0</v>
      </c>
      <c r="E86" s="44">
        <v>-262</v>
      </c>
      <c r="F86" t="s">
        <v>73</v>
      </c>
      <c r="G86" t="s">
        <v>98</v>
      </c>
      <c r="J86" s="37">
        <f>J85/(J84+J35)-1</f>
        <v>0.1388154328794573</v>
      </c>
      <c r="K86">
        <f>J85-J35-J84</f>
        <v>50709</v>
      </c>
    </row>
    <row r="87" spans="1:15" x14ac:dyDescent="0.25">
      <c r="A87" s="45" t="s">
        <v>99</v>
      </c>
      <c r="B87" s="46" t="s">
        <v>100</v>
      </c>
      <c r="C87" s="47">
        <v>500</v>
      </c>
      <c r="D87" s="47">
        <v>20</v>
      </c>
      <c r="E87" s="48">
        <v>-10000</v>
      </c>
    </row>
    <row r="88" spans="1:15" x14ac:dyDescent="0.25">
      <c r="A88" s="45" t="s">
        <v>101</v>
      </c>
      <c r="B88" s="46" t="s">
        <v>102</v>
      </c>
      <c r="C88" s="47">
        <v>100</v>
      </c>
      <c r="D88" s="47">
        <v>20</v>
      </c>
      <c r="E88" s="48">
        <v>-2006.95</v>
      </c>
    </row>
    <row r="89" spans="1:15" x14ac:dyDescent="0.25">
      <c r="A89" s="45" t="s">
        <v>101</v>
      </c>
      <c r="B89" s="46" t="s">
        <v>33</v>
      </c>
      <c r="C89" s="47">
        <v>250</v>
      </c>
      <c r="D89" s="47">
        <v>60</v>
      </c>
      <c r="E89" s="48">
        <v>-15006.95</v>
      </c>
    </row>
    <row r="90" spans="1:15" x14ac:dyDescent="0.25">
      <c r="A90" s="45" t="s">
        <v>103</v>
      </c>
      <c r="B90" s="46" t="s">
        <v>104</v>
      </c>
      <c r="C90" s="47">
        <v>100</v>
      </c>
      <c r="D90" s="47">
        <v>30.1099</v>
      </c>
      <c r="E90" s="48">
        <v>-3017.94</v>
      </c>
    </row>
    <row r="91" spans="1:15" x14ac:dyDescent="0.25">
      <c r="A91" s="45" t="s">
        <v>105</v>
      </c>
      <c r="B91" s="46" t="s">
        <v>57</v>
      </c>
      <c r="C91" s="47">
        <v>300</v>
      </c>
      <c r="D91" s="47">
        <v>9</v>
      </c>
      <c r="E91" s="48">
        <v>-2706.95</v>
      </c>
    </row>
    <row r="92" spans="1:15" x14ac:dyDescent="0.25">
      <c r="A92" s="45" t="s">
        <v>106</v>
      </c>
      <c r="B92" s="46" t="s">
        <v>62</v>
      </c>
      <c r="C92" s="47">
        <v>20</v>
      </c>
      <c r="D92" s="47">
        <v>50</v>
      </c>
      <c r="E92" s="48">
        <v>-1006.95</v>
      </c>
    </row>
    <row r="93" spans="1:15" x14ac:dyDescent="0.25">
      <c r="A93" s="45" t="s">
        <v>106</v>
      </c>
      <c r="B93" s="46" t="s">
        <v>107</v>
      </c>
      <c r="C93" s="47">
        <v>100</v>
      </c>
      <c r="D93" s="47">
        <v>10</v>
      </c>
      <c r="E93" s="48">
        <v>-1006.95</v>
      </c>
    </row>
    <row r="94" spans="1:15" x14ac:dyDescent="0.25">
      <c r="A94" s="45" t="s">
        <v>108</v>
      </c>
      <c r="B94" s="46" t="s">
        <v>109</v>
      </c>
      <c r="C94" s="47">
        <v>50</v>
      </c>
      <c r="D94" s="47">
        <v>20</v>
      </c>
      <c r="E94" s="48">
        <v>-1006.95</v>
      </c>
    </row>
    <row r="95" spans="1:15" x14ac:dyDescent="0.25">
      <c r="A95" s="45" t="s">
        <v>110</v>
      </c>
      <c r="B95" s="46" t="s">
        <v>20</v>
      </c>
      <c r="C95" s="47">
        <v>100</v>
      </c>
      <c r="D95" s="47">
        <v>20</v>
      </c>
      <c r="E95" s="48">
        <v>-2006.95</v>
      </c>
    </row>
    <row r="96" spans="1:15" x14ac:dyDescent="0.25">
      <c r="A96" s="45" t="s">
        <v>110</v>
      </c>
      <c r="B96" s="46" t="s">
        <v>33</v>
      </c>
      <c r="C96" s="47">
        <v>100</v>
      </c>
      <c r="D96" s="47">
        <v>75.139700000000005</v>
      </c>
      <c r="E96" s="48">
        <v>-7520.93</v>
      </c>
    </row>
    <row r="97" spans="1:8" x14ac:dyDescent="0.25">
      <c r="A97" s="45" t="s">
        <v>111</v>
      </c>
      <c r="B97" s="46" t="s">
        <v>100</v>
      </c>
      <c r="C97" s="47">
        <v>50</v>
      </c>
      <c r="D97" s="47">
        <v>30</v>
      </c>
      <c r="E97" s="48">
        <v>-1506.95</v>
      </c>
    </row>
    <row r="98" spans="1:8" x14ac:dyDescent="0.25">
      <c r="A98" s="45" t="s">
        <v>112</v>
      </c>
      <c r="B98" s="46" t="s">
        <v>113</v>
      </c>
      <c r="C98" s="47">
        <v>-10</v>
      </c>
      <c r="D98" s="47">
        <v>1</v>
      </c>
      <c r="E98" s="47">
        <v>985.18</v>
      </c>
    </row>
    <row r="99" spans="1:8" x14ac:dyDescent="0.25">
      <c r="A99" s="45" t="s">
        <v>114</v>
      </c>
      <c r="B99" s="46" t="s">
        <v>115</v>
      </c>
      <c r="C99" s="47">
        <v>-1</v>
      </c>
      <c r="D99" s="47">
        <v>0.87</v>
      </c>
      <c r="E99" s="47">
        <v>79.260000000000005</v>
      </c>
    </row>
    <row r="100" spans="1:8" x14ac:dyDescent="0.25">
      <c r="A100" s="45" t="s">
        <v>116</v>
      </c>
      <c r="B100" s="46" t="s">
        <v>33</v>
      </c>
      <c r="C100" s="47">
        <v>100</v>
      </c>
      <c r="D100" s="47">
        <v>85.079400000000007</v>
      </c>
      <c r="E100" s="48">
        <v>-8514.89</v>
      </c>
    </row>
    <row r="101" spans="1:8" x14ac:dyDescent="0.25">
      <c r="A101" s="45" t="s">
        <v>117</v>
      </c>
      <c r="B101" s="46" t="s">
        <v>40</v>
      </c>
      <c r="C101" s="47">
        <v>-50</v>
      </c>
      <c r="D101" s="47">
        <v>282</v>
      </c>
      <c r="E101" s="48">
        <v>14092.73</v>
      </c>
    </row>
    <row r="102" spans="1:8" x14ac:dyDescent="0.25">
      <c r="A102" s="45" t="s">
        <v>117</v>
      </c>
      <c r="B102" s="46" t="s">
        <v>118</v>
      </c>
      <c r="C102" s="47">
        <v>-3</v>
      </c>
      <c r="D102" s="47">
        <v>1.8</v>
      </c>
      <c r="E102" s="47">
        <v>530.67999999999995</v>
      </c>
    </row>
    <row r="103" spans="1:8" x14ac:dyDescent="0.25">
      <c r="A103" s="45" t="s">
        <v>119</v>
      </c>
      <c r="B103" s="46" t="s">
        <v>120</v>
      </c>
      <c r="C103" s="47">
        <v>-15</v>
      </c>
      <c r="D103" s="47">
        <v>1.8</v>
      </c>
      <c r="E103" s="48">
        <v>2681.23</v>
      </c>
    </row>
    <row r="104" spans="1:8" x14ac:dyDescent="0.25">
      <c r="A104" s="45" t="s">
        <v>121</v>
      </c>
      <c r="B104" s="46" t="s">
        <v>122</v>
      </c>
      <c r="C104" s="47">
        <v>-3</v>
      </c>
      <c r="D104" s="47">
        <v>18.2</v>
      </c>
      <c r="E104" s="48">
        <v>5450.57</v>
      </c>
    </row>
    <row r="105" spans="1:8" x14ac:dyDescent="0.25">
      <c r="A105" s="45" t="s">
        <v>123</v>
      </c>
      <c r="B105" s="45" t="s">
        <v>124</v>
      </c>
      <c r="C105" s="47"/>
      <c r="D105" s="47"/>
      <c r="E105" s="48">
        <v>22194</v>
      </c>
      <c r="F105" s="1" t="s">
        <v>125</v>
      </c>
      <c r="G105">
        <f>J35</f>
        <v>223982</v>
      </c>
    </row>
    <row r="106" spans="1:8" x14ac:dyDescent="0.25">
      <c r="A106" s="45" t="s">
        <v>126</v>
      </c>
      <c r="B106" s="46" t="s">
        <v>120</v>
      </c>
      <c r="C106" s="47">
        <v>-20</v>
      </c>
      <c r="D106" s="47">
        <v>1.25</v>
      </c>
      <c r="E106" s="48">
        <v>2477.3200000000002</v>
      </c>
      <c r="F106" s="1" t="s">
        <v>127</v>
      </c>
      <c r="G106">
        <f>SUMIF(B38:B3000,"CASH",E38:E3000)</f>
        <v>162793.07999999999</v>
      </c>
    </row>
    <row r="107" spans="1:8" x14ac:dyDescent="0.25">
      <c r="A107" s="45" t="s">
        <v>128</v>
      </c>
      <c r="B107" s="46" t="s">
        <v>129</v>
      </c>
      <c r="C107" s="47">
        <v>5</v>
      </c>
      <c r="D107" s="47">
        <v>0.4</v>
      </c>
      <c r="E107" s="47">
        <v>-210.87</v>
      </c>
      <c r="F107" s="1" t="s">
        <v>130</v>
      </c>
      <c r="G107" s="49">
        <v>401606</v>
      </c>
      <c r="H107" s="1" t="s">
        <v>131</v>
      </c>
    </row>
    <row r="108" spans="1:8" x14ac:dyDescent="0.25">
      <c r="A108" s="45" t="s">
        <v>132</v>
      </c>
      <c r="B108" s="46" t="s">
        <v>115</v>
      </c>
      <c r="C108" s="47">
        <v>1</v>
      </c>
      <c r="D108" s="47">
        <v>5.55</v>
      </c>
      <c r="E108" s="47">
        <v>-562.73</v>
      </c>
      <c r="F108" s="1" t="s">
        <v>133</v>
      </c>
      <c r="G108">
        <f>G107-G106-G105</f>
        <v>14830.920000000013</v>
      </c>
    </row>
    <row r="109" spans="1:8" x14ac:dyDescent="0.25">
      <c r="A109" s="45" t="s">
        <v>132</v>
      </c>
      <c r="B109" s="46" t="s">
        <v>134</v>
      </c>
      <c r="C109" s="47">
        <v>16</v>
      </c>
      <c r="D109" s="47">
        <v>0.45</v>
      </c>
      <c r="E109" s="47">
        <v>-739.49</v>
      </c>
    </row>
    <row r="110" spans="1:8" x14ac:dyDescent="0.25">
      <c r="A110" s="45" t="s">
        <v>135</v>
      </c>
      <c r="B110" s="46" t="s">
        <v>129</v>
      </c>
      <c r="C110" s="47">
        <v>-5</v>
      </c>
      <c r="D110" s="47">
        <v>1</v>
      </c>
      <c r="E110" s="47">
        <v>489.11</v>
      </c>
      <c r="F110" s="1" t="s">
        <v>136</v>
      </c>
      <c r="G110">
        <f>SUMIF(B2:B185,"CASH",E2:E3488)</f>
        <v>402869.33999999997</v>
      </c>
    </row>
    <row r="111" spans="1:8" x14ac:dyDescent="0.25">
      <c r="A111" s="45" t="s">
        <v>137</v>
      </c>
      <c r="B111" s="46" t="s">
        <v>138</v>
      </c>
      <c r="C111" s="47">
        <v>143.102</v>
      </c>
      <c r="D111" s="47">
        <v>34.94</v>
      </c>
      <c r="E111" s="48">
        <v>-5009</v>
      </c>
      <c r="F111" s="1" t="s">
        <v>50</v>
      </c>
      <c r="G111" s="49">
        <v>401606</v>
      </c>
    </row>
  </sheetData>
  <autoFilter ref="A1:E111" xr:uid="{00000000-0009-0000-0000-000001000000}"/>
  <customSheetViews>
    <customSheetView guid="{1E41C6D1-1FF2-4EDC-93A7-39FD0856DDAE}" showAutoFilter="1" state="hidden">
      <pane ySplit="1" topLeftCell="A74" activePane="bottomLeft" state="frozen"/>
      <selection pane="bottomLeft" activeCell="I93" sqref="I93"/>
      <pageMargins left="0.75" right="0.75" top="1" bottom="1" header="0.51" footer="0.51"/>
      <pageSetup paperSize="9" orientation="portrait" horizontalDpi="0" verticalDpi="0"/>
      <headerFooter alignWithMargins="0"/>
      <autoFilter ref="B1:F1" xr:uid="{00000000-0000-0000-0000-000000000000}"/>
    </customSheetView>
    <customSheetView guid="{2C754312-9D31-43A1-8D1D-F4080D321E7F}" showAutoFilter="1" state="hidden">
      <pane ySplit="1" topLeftCell="A74" activePane="bottomLeft" state="frozen"/>
      <selection pane="bottomLeft" activeCell="I93" sqref="I93"/>
      <pageMargins left="0.75" right="0.75" top="1" bottom="1" header="0.51" footer="0.51"/>
      <pageSetup paperSize="9" orientation="portrait" horizontalDpi="0" verticalDpi="0"/>
      <headerFooter alignWithMargins="0"/>
      <autoFilter ref="A1:E111" xr:uid="{00000000-0000-0000-0000-000000000000}"/>
    </customSheetView>
  </customSheetViews>
  <phoneticPr fontId="3" type="noConversion"/>
  <hyperlinks>
    <hyperlink ref="B87" r:id="rId1" xr:uid="{00000000-0004-0000-0100-000000000000}"/>
    <hyperlink ref="B88" r:id="rId2" xr:uid="{00000000-0004-0000-0100-000001000000}"/>
    <hyperlink ref="B89" r:id="rId3" xr:uid="{00000000-0004-0000-0100-000002000000}"/>
    <hyperlink ref="B90" r:id="rId4" xr:uid="{00000000-0004-0000-0100-000003000000}"/>
    <hyperlink ref="B91" r:id="rId5" xr:uid="{00000000-0004-0000-0100-000004000000}"/>
    <hyperlink ref="B92" r:id="rId6" xr:uid="{00000000-0004-0000-0100-000005000000}"/>
    <hyperlink ref="B93" r:id="rId7" xr:uid="{00000000-0004-0000-0100-000006000000}"/>
    <hyperlink ref="B94" r:id="rId8" xr:uid="{00000000-0004-0000-0100-000007000000}"/>
    <hyperlink ref="B95" r:id="rId9" xr:uid="{00000000-0004-0000-0100-000008000000}"/>
    <hyperlink ref="B96" r:id="rId10" xr:uid="{00000000-0004-0000-0100-000009000000}"/>
    <hyperlink ref="B97" r:id="rId11" xr:uid="{00000000-0004-0000-0100-00000A000000}"/>
    <hyperlink ref="B98" r:id="rId12" xr:uid="{00000000-0004-0000-0100-00000B000000}"/>
    <hyperlink ref="B99" r:id="rId13" xr:uid="{00000000-0004-0000-0100-00000C000000}"/>
    <hyperlink ref="B100" r:id="rId14" xr:uid="{00000000-0004-0000-0100-00000D000000}"/>
    <hyperlink ref="B101" r:id="rId15" xr:uid="{00000000-0004-0000-0100-00000E000000}"/>
    <hyperlink ref="B102" r:id="rId16" xr:uid="{00000000-0004-0000-0100-00000F000000}"/>
    <hyperlink ref="B103" r:id="rId17" xr:uid="{00000000-0004-0000-0100-000010000000}"/>
    <hyperlink ref="B104" r:id="rId18" xr:uid="{00000000-0004-0000-0100-000011000000}"/>
    <hyperlink ref="B106" r:id="rId19" xr:uid="{00000000-0004-0000-0100-000012000000}"/>
    <hyperlink ref="B107" r:id="rId20" xr:uid="{00000000-0004-0000-0100-000013000000}"/>
    <hyperlink ref="B108" r:id="rId21" xr:uid="{00000000-0004-0000-0100-000014000000}"/>
    <hyperlink ref="B109" r:id="rId22" xr:uid="{00000000-0004-0000-0100-000015000000}"/>
    <hyperlink ref="B110" r:id="rId23" xr:uid="{00000000-0004-0000-0100-000016000000}"/>
    <hyperlink ref="B111" r:id="rId24" xr:uid="{00000000-0004-0000-0100-000017000000}"/>
  </hyperlinks>
  <pageMargins left="0.75" right="0.75" top="1" bottom="1" header="0.51" footer="0.51"/>
  <pageSetup paperSize="9" orientation="portrait" horizontalDpi="0" verticalDpi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714"/>
  <sheetViews>
    <sheetView zoomScaleSheetLayoutView="100" workbookViewId="0">
      <pane ySplit="1" topLeftCell="A677" activePane="bottomLeft" state="frozen"/>
      <selection pane="bottomLeft" activeCell="I708" sqref="I708:I710"/>
    </sheetView>
  </sheetViews>
  <sheetFormatPr defaultColWidth="9" defaultRowHeight="15.6" x14ac:dyDescent="0.25"/>
  <cols>
    <col min="1" max="2" width="12.59765625" customWidth="1"/>
    <col min="8" max="8" width="12.5" customWidth="1"/>
    <col min="9" max="9" width="9.5" bestFit="1" customWidth="1"/>
  </cols>
  <sheetData>
    <row r="1" spans="1:7" x14ac:dyDescent="0.25">
      <c r="A1" t="s">
        <v>0</v>
      </c>
      <c r="B1" t="s">
        <v>139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</row>
    <row r="2" spans="1:7" x14ac:dyDescent="0.25">
      <c r="A2">
        <v>20140124</v>
      </c>
      <c r="B2" t="s">
        <v>145</v>
      </c>
      <c r="E2">
        <v>0</v>
      </c>
      <c r="F2">
        <v>0</v>
      </c>
      <c r="G2">
        <v>-43.24</v>
      </c>
    </row>
    <row r="3" spans="1:7" x14ac:dyDescent="0.25">
      <c r="A3">
        <v>20140124</v>
      </c>
      <c r="B3" t="s">
        <v>146</v>
      </c>
      <c r="E3">
        <v>0</v>
      </c>
      <c r="F3">
        <v>0</v>
      </c>
      <c r="G3">
        <v>100</v>
      </c>
    </row>
    <row r="4" spans="1:7" x14ac:dyDescent="0.25">
      <c r="A4">
        <v>20140124</v>
      </c>
      <c r="B4" t="s">
        <v>146</v>
      </c>
      <c r="E4">
        <v>0</v>
      </c>
      <c r="F4">
        <v>0</v>
      </c>
      <c r="G4">
        <v>150000</v>
      </c>
    </row>
    <row r="5" spans="1:7" x14ac:dyDescent="0.25">
      <c r="A5">
        <v>20140127</v>
      </c>
      <c r="B5" t="s">
        <v>147</v>
      </c>
      <c r="C5">
        <v>600016</v>
      </c>
      <c r="D5" t="s">
        <v>148</v>
      </c>
      <c r="E5">
        <v>5000</v>
      </c>
      <c r="F5">
        <v>6.98</v>
      </c>
      <c r="G5">
        <v>-34975.93</v>
      </c>
    </row>
    <row r="6" spans="1:7" x14ac:dyDescent="0.25">
      <c r="A6">
        <v>20140127</v>
      </c>
      <c r="B6" t="s">
        <v>147</v>
      </c>
      <c r="C6">
        <v>2594</v>
      </c>
      <c r="D6" t="s">
        <v>149</v>
      </c>
      <c r="E6">
        <v>1500</v>
      </c>
      <c r="F6">
        <v>38.619999999999997</v>
      </c>
      <c r="G6">
        <v>-58052.53</v>
      </c>
    </row>
    <row r="7" spans="1:7" x14ac:dyDescent="0.25">
      <c r="A7">
        <v>20140127</v>
      </c>
      <c r="B7" t="s">
        <v>147</v>
      </c>
      <c r="C7">
        <v>651</v>
      </c>
      <c r="D7" t="s">
        <v>150</v>
      </c>
      <c r="E7">
        <v>1700</v>
      </c>
      <c r="F7">
        <v>29.44</v>
      </c>
      <c r="G7">
        <v>-50153.86</v>
      </c>
    </row>
    <row r="8" spans="1:7" x14ac:dyDescent="0.25">
      <c r="A8">
        <v>20140218</v>
      </c>
      <c r="B8" t="s">
        <v>146</v>
      </c>
      <c r="E8">
        <v>0</v>
      </c>
      <c r="F8">
        <v>0</v>
      </c>
      <c r="G8">
        <v>590000</v>
      </c>
    </row>
    <row r="9" spans="1:7" x14ac:dyDescent="0.25">
      <c r="A9">
        <v>20140218</v>
      </c>
      <c r="B9" t="s">
        <v>147</v>
      </c>
      <c r="C9">
        <v>651</v>
      </c>
      <c r="D9" t="s">
        <v>150</v>
      </c>
      <c r="E9">
        <v>3000</v>
      </c>
      <c r="F9">
        <v>30.38</v>
      </c>
      <c r="G9">
        <v>-91332.77</v>
      </c>
    </row>
    <row r="10" spans="1:7" x14ac:dyDescent="0.25">
      <c r="A10">
        <v>20140219</v>
      </c>
      <c r="B10" t="s">
        <v>147</v>
      </c>
      <c r="C10">
        <v>600016</v>
      </c>
      <c r="D10" t="s">
        <v>148</v>
      </c>
      <c r="E10">
        <v>5000</v>
      </c>
      <c r="F10">
        <v>7.77</v>
      </c>
      <c r="G10">
        <v>-38934.18</v>
      </c>
    </row>
    <row r="11" spans="1:7" x14ac:dyDescent="0.25">
      <c r="A11">
        <v>20140219</v>
      </c>
      <c r="B11" t="s">
        <v>147</v>
      </c>
      <c r="C11">
        <v>600036</v>
      </c>
      <c r="D11" t="s">
        <v>151</v>
      </c>
      <c r="E11">
        <v>10000</v>
      </c>
      <c r="F11">
        <v>10.31</v>
      </c>
      <c r="G11">
        <v>-103321.44</v>
      </c>
    </row>
    <row r="12" spans="1:7" x14ac:dyDescent="0.25">
      <c r="A12">
        <v>20140219</v>
      </c>
      <c r="B12" t="s">
        <v>147</v>
      </c>
      <c r="C12">
        <v>600016</v>
      </c>
      <c r="D12" t="s">
        <v>148</v>
      </c>
      <c r="E12">
        <v>10000</v>
      </c>
      <c r="F12">
        <v>7.77</v>
      </c>
      <c r="G12">
        <v>-77868.36</v>
      </c>
    </row>
    <row r="13" spans="1:7" x14ac:dyDescent="0.25">
      <c r="A13">
        <v>20140219</v>
      </c>
      <c r="B13" t="s">
        <v>147</v>
      </c>
      <c r="C13">
        <v>2594</v>
      </c>
      <c r="D13" t="s">
        <v>149</v>
      </c>
      <c r="E13">
        <v>1500</v>
      </c>
      <c r="F13">
        <v>48.253</v>
      </c>
      <c r="G13">
        <v>-72533.09</v>
      </c>
    </row>
    <row r="14" spans="1:7" x14ac:dyDescent="0.25">
      <c r="A14">
        <v>20140219</v>
      </c>
      <c r="B14" t="s">
        <v>147</v>
      </c>
      <c r="C14">
        <v>651</v>
      </c>
      <c r="D14" t="s">
        <v>150</v>
      </c>
      <c r="E14">
        <v>6100</v>
      </c>
      <c r="F14">
        <v>31.08</v>
      </c>
      <c r="G14">
        <v>-189989</v>
      </c>
    </row>
    <row r="15" spans="1:7" x14ac:dyDescent="0.25">
      <c r="A15">
        <v>20140224</v>
      </c>
      <c r="B15" t="s">
        <v>147</v>
      </c>
      <c r="C15">
        <v>725</v>
      </c>
      <c r="D15" t="s">
        <v>152</v>
      </c>
      <c r="E15">
        <v>8800</v>
      </c>
      <c r="F15">
        <v>2.39</v>
      </c>
      <c r="G15">
        <v>-21076.48</v>
      </c>
    </row>
    <row r="16" spans="1:7" x14ac:dyDescent="0.25">
      <c r="A16">
        <v>20140225</v>
      </c>
      <c r="B16" t="s">
        <v>153</v>
      </c>
      <c r="C16">
        <v>600036</v>
      </c>
      <c r="D16" t="s">
        <v>151</v>
      </c>
      <c r="E16">
        <v>-10000</v>
      </c>
      <c r="F16">
        <v>10.09</v>
      </c>
      <c r="G16">
        <v>100582.26</v>
      </c>
    </row>
    <row r="17" spans="1:7" x14ac:dyDescent="0.25">
      <c r="A17">
        <v>20140225</v>
      </c>
      <c r="B17" t="s">
        <v>147</v>
      </c>
      <c r="C17">
        <v>725</v>
      </c>
      <c r="D17" t="s">
        <v>152</v>
      </c>
      <c r="E17">
        <v>600</v>
      </c>
      <c r="F17">
        <v>2.52</v>
      </c>
      <c r="G17">
        <v>-1517</v>
      </c>
    </row>
    <row r="18" spans="1:7" x14ac:dyDescent="0.25">
      <c r="A18">
        <v>20140225</v>
      </c>
      <c r="B18" t="s">
        <v>147</v>
      </c>
      <c r="C18">
        <v>725</v>
      </c>
      <c r="D18" t="s">
        <v>152</v>
      </c>
      <c r="E18">
        <v>36400</v>
      </c>
      <c r="F18">
        <v>2.52</v>
      </c>
      <c r="G18">
        <v>-91922.02</v>
      </c>
    </row>
    <row r="19" spans="1:7" x14ac:dyDescent="0.25">
      <c r="A19">
        <v>20140226</v>
      </c>
      <c r="B19" t="s">
        <v>147</v>
      </c>
      <c r="C19">
        <v>725</v>
      </c>
      <c r="D19" t="s">
        <v>152</v>
      </c>
      <c r="E19">
        <v>3300</v>
      </c>
      <c r="F19">
        <v>2.4900000000000002</v>
      </c>
      <c r="G19">
        <v>-8234.3799999999992</v>
      </c>
    </row>
    <row r="20" spans="1:7" x14ac:dyDescent="0.25">
      <c r="A20">
        <v>20140303</v>
      </c>
      <c r="B20" t="s">
        <v>153</v>
      </c>
      <c r="C20">
        <v>600016</v>
      </c>
      <c r="D20" t="s">
        <v>148</v>
      </c>
      <c r="E20">
        <v>-5000</v>
      </c>
      <c r="F20">
        <v>7.43</v>
      </c>
      <c r="G20">
        <v>37032.22</v>
      </c>
    </row>
    <row r="21" spans="1:7" x14ac:dyDescent="0.25">
      <c r="A21">
        <v>20140303</v>
      </c>
      <c r="B21" t="s">
        <v>147</v>
      </c>
      <c r="C21">
        <v>601989</v>
      </c>
      <c r="D21" t="s">
        <v>154</v>
      </c>
      <c r="E21">
        <v>5000</v>
      </c>
      <c r="F21">
        <v>5.32</v>
      </c>
      <c r="G21">
        <v>-26658.58</v>
      </c>
    </row>
    <row r="22" spans="1:7" x14ac:dyDescent="0.25">
      <c r="A22">
        <v>20140303</v>
      </c>
      <c r="B22" t="s">
        <v>147</v>
      </c>
      <c r="C22">
        <v>601989</v>
      </c>
      <c r="D22" t="s">
        <v>154</v>
      </c>
      <c r="E22">
        <v>1200</v>
      </c>
      <c r="F22">
        <v>5.3</v>
      </c>
      <c r="G22">
        <v>-6374.01</v>
      </c>
    </row>
    <row r="23" spans="1:7" x14ac:dyDescent="0.25">
      <c r="A23">
        <v>20140303</v>
      </c>
      <c r="B23" t="s">
        <v>153</v>
      </c>
      <c r="C23">
        <v>725</v>
      </c>
      <c r="D23" t="s">
        <v>152</v>
      </c>
      <c r="E23">
        <v>-29100</v>
      </c>
      <c r="F23">
        <v>2.4</v>
      </c>
      <c r="G23">
        <v>69622.44</v>
      </c>
    </row>
    <row r="24" spans="1:7" x14ac:dyDescent="0.25">
      <c r="A24">
        <v>20140303</v>
      </c>
      <c r="B24" t="s">
        <v>147</v>
      </c>
      <c r="C24">
        <v>568</v>
      </c>
      <c r="D24" t="s">
        <v>155</v>
      </c>
      <c r="E24">
        <v>2000</v>
      </c>
      <c r="F24">
        <v>16.670000000000002</v>
      </c>
      <c r="G24">
        <v>-33410.519999999997</v>
      </c>
    </row>
    <row r="25" spans="1:7" x14ac:dyDescent="0.25">
      <c r="A25">
        <v>20140303</v>
      </c>
      <c r="B25" t="s">
        <v>147</v>
      </c>
      <c r="C25">
        <v>2594</v>
      </c>
      <c r="D25" t="s">
        <v>149</v>
      </c>
      <c r="E25">
        <v>700</v>
      </c>
      <c r="F25">
        <v>56.99</v>
      </c>
      <c r="G25">
        <v>-39977.379999999997</v>
      </c>
    </row>
    <row r="26" spans="1:7" x14ac:dyDescent="0.25">
      <c r="A26">
        <v>20140306</v>
      </c>
      <c r="B26" t="s">
        <v>153</v>
      </c>
      <c r="C26">
        <v>601989</v>
      </c>
      <c r="D26" t="s">
        <v>154</v>
      </c>
      <c r="E26">
        <v>-6200</v>
      </c>
      <c r="F26">
        <v>5.0599999999999996</v>
      </c>
      <c r="G26">
        <v>31271.360000000001</v>
      </c>
    </row>
    <row r="27" spans="1:7" x14ac:dyDescent="0.25">
      <c r="A27">
        <v>20140306</v>
      </c>
      <c r="B27" t="s">
        <v>153</v>
      </c>
      <c r="C27">
        <v>600016</v>
      </c>
      <c r="D27" t="s">
        <v>148</v>
      </c>
      <c r="E27">
        <v>-15000</v>
      </c>
      <c r="F27">
        <v>7.5579999999999998</v>
      </c>
      <c r="G27">
        <v>113004.84</v>
      </c>
    </row>
    <row r="28" spans="1:7" x14ac:dyDescent="0.25">
      <c r="A28">
        <v>20140306</v>
      </c>
      <c r="B28" t="s">
        <v>147</v>
      </c>
      <c r="C28">
        <v>110023</v>
      </c>
      <c r="D28" t="s">
        <v>156</v>
      </c>
      <c r="E28">
        <v>1000</v>
      </c>
      <c r="F28">
        <v>88.8</v>
      </c>
      <c r="G28">
        <v>-88817.76</v>
      </c>
    </row>
    <row r="29" spans="1:7" x14ac:dyDescent="0.25">
      <c r="A29">
        <v>20140306</v>
      </c>
      <c r="B29" t="s">
        <v>147</v>
      </c>
      <c r="C29">
        <v>113002</v>
      </c>
      <c r="D29" t="s">
        <v>157</v>
      </c>
      <c r="E29">
        <v>900</v>
      </c>
      <c r="F29">
        <v>98.3</v>
      </c>
      <c r="G29">
        <v>-88487.69</v>
      </c>
    </row>
    <row r="30" spans="1:7" x14ac:dyDescent="0.25">
      <c r="A30">
        <v>20140306</v>
      </c>
      <c r="B30" t="s">
        <v>153</v>
      </c>
      <c r="C30">
        <v>568</v>
      </c>
      <c r="D30" t="s">
        <v>155</v>
      </c>
      <c r="E30">
        <v>-1900</v>
      </c>
      <c r="F30">
        <v>17.38</v>
      </c>
      <c r="G30">
        <v>32919.14</v>
      </c>
    </row>
    <row r="31" spans="1:7" x14ac:dyDescent="0.25">
      <c r="A31">
        <v>20140306</v>
      </c>
      <c r="B31" t="s">
        <v>153</v>
      </c>
      <c r="C31">
        <v>725</v>
      </c>
      <c r="D31" t="s">
        <v>152</v>
      </c>
      <c r="E31">
        <v>-20000</v>
      </c>
      <c r="F31">
        <v>2.34</v>
      </c>
      <c r="G31">
        <v>46654.21</v>
      </c>
    </row>
    <row r="32" spans="1:7" x14ac:dyDescent="0.25">
      <c r="A32">
        <v>20140307</v>
      </c>
      <c r="B32" t="s">
        <v>147</v>
      </c>
      <c r="C32">
        <v>110015</v>
      </c>
      <c r="D32" t="s">
        <v>158</v>
      </c>
      <c r="E32">
        <v>440</v>
      </c>
      <c r="F32">
        <v>105.69</v>
      </c>
      <c r="G32">
        <v>-46512.9</v>
      </c>
    </row>
    <row r="33" spans="1:7" x14ac:dyDescent="0.25">
      <c r="A33">
        <v>20140310</v>
      </c>
      <c r="B33" t="s">
        <v>146</v>
      </c>
      <c r="E33">
        <v>0</v>
      </c>
      <c r="F33">
        <v>0</v>
      </c>
      <c r="G33">
        <v>300000</v>
      </c>
    </row>
    <row r="34" spans="1:7" x14ac:dyDescent="0.25">
      <c r="A34">
        <v>20140311</v>
      </c>
      <c r="B34" t="s">
        <v>147</v>
      </c>
      <c r="C34">
        <v>113002</v>
      </c>
      <c r="D34" t="s">
        <v>157</v>
      </c>
      <c r="E34">
        <v>500</v>
      </c>
      <c r="F34">
        <v>98.19</v>
      </c>
      <c r="G34">
        <v>-49104.82</v>
      </c>
    </row>
    <row r="35" spans="1:7" x14ac:dyDescent="0.25">
      <c r="A35">
        <v>20140311</v>
      </c>
      <c r="B35" t="s">
        <v>147</v>
      </c>
      <c r="C35">
        <v>113005</v>
      </c>
      <c r="D35" t="s">
        <v>159</v>
      </c>
      <c r="E35">
        <v>1000</v>
      </c>
      <c r="F35">
        <v>100.34</v>
      </c>
      <c r="G35">
        <v>-100360.07</v>
      </c>
    </row>
    <row r="36" spans="1:7" x14ac:dyDescent="0.25">
      <c r="A36">
        <v>20140311</v>
      </c>
      <c r="B36" t="s">
        <v>147</v>
      </c>
      <c r="C36">
        <v>110023</v>
      </c>
      <c r="D36" t="s">
        <v>156</v>
      </c>
      <c r="E36">
        <v>1110</v>
      </c>
      <c r="F36">
        <v>89.02</v>
      </c>
      <c r="G36">
        <v>-98831.76</v>
      </c>
    </row>
    <row r="37" spans="1:7" x14ac:dyDescent="0.25">
      <c r="A37">
        <v>20140311</v>
      </c>
      <c r="B37" t="s">
        <v>147</v>
      </c>
      <c r="C37">
        <v>110015</v>
      </c>
      <c r="D37" t="s">
        <v>158</v>
      </c>
      <c r="E37">
        <v>500</v>
      </c>
      <c r="F37">
        <v>104.41</v>
      </c>
      <c r="G37">
        <v>-52215.44</v>
      </c>
    </row>
    <row r="38" spans="1:7" x14ac:dyDescent="0.25">
      <c r="A38">
        <v>20140311</v>
      </c>
      <c r="B38" t="s">
        <v>153</v>
      </c>
      <c r="C38">
        <v>568</v>
      </c>
      <c r="D38" t="s">
        <v>155</v>
      </c>
      <c r="E38">
        <v>-100</v>
      </c>
      <c r="F38">
        <v>17.05</v>
      </c>
      <c r="G38">
        <v>1698.29</v>
      </c>
    </row>
    <row r="39" spans="1:7" x14ac:dyDescent="0.25">
      <c r="A39">
        <v>20140312</v>
      </c>
      <c r="B39" t="s">
        <v>147</v>
      </c>
      <c r="C39">
        <v>110015</v>
      </c>
      <c r="D39" t="s">
        <v>158</v>
      </c>
      <c r="E39">
        <v>20</v>
      </c>
      <c r="F39">
        <v>102.01</v>
      </c>
      <c r="G39">
        <v>-2041.2</v>
      </c>
    </row>
    <row r="40" spans="1:7" x14ac:dyDescent="0.25">
      <c r="A40">
        <v>20140314</v>
      </c>
      <c r="B40" t="s">
        <v>146</v>
      </c>
      <c r="E40">
        <v>0</v>
      </c>
      <c r="F40">
        <v>0</v>
      </c>
      <c r="G40">
        <v>360000</v>
      </c>
    </row>
    <row r="41" spans="1:7" x14ac:dyDescent="0.25">
      <c r="A41">
        <v>20140314</v>
      </c>
      <c r="B41" t="s">
        <v>147</v>
      </c>
      <c r="C41">
        <v>113005</v>
      </c>
      <c r="D41" t="s">
        <v>159</v>
      </c>
      <c r="E41">
        <v>1500</v>
      </c>
      <c r="F41">
        <v>100.2</v>
      </c>
      <c r="G41">
        <v>-150330.06</v>
      </c>
    </row>
    <row r="42" spans="1:7" x14ac:dyDescent="0.25">
      <c r="A42">
        <v>20140318</v>
      </c>
      <c r="B42" t="s">
        <v>147</v>
      </c>
      <c r="C42">
        <v>110015</v>
      </c>
      <c r="D42" t="s">
        <v>158</v>
      </c>
      <c r="E42">
        <v>2020</v>
      </c>
      <c r="F42">
        <v>103.53</v>
      </c>
      <c r="G42">
        <v>-209172.43</v>
      </c>
    </row>
    <row r="43" spans="1:7" x14ac:dyDescent="0.25">
      <c r="A43">
        <v>20140320</v>
      </c>
      <c r="B43" t="s">
        <v>160</v>
      </c>
      <c r="E43">
        <v>0</v>
      </c>
      <c r="F43">
        <v>0</v>
      </c>
      <c r="G43">
        <v>23.69</v>
      </c>
    </row>
    <row r="44" spans="1:7" x14ac:dyDescent="0.25">
      <c r="A44">
        <v>20140320</v>
      </c>
      <c r="B44" t="s">
        <v>161</v>
      </c>
      <c r="C44">
        <v>110023</v>
      </c>
      <c r="D44" t="s">
        <v>156</v>
      </c>
      <c r="E44">
        <v>-2110</v>
      </c>
      <c r="F44">
        <v>0</v>
      </c>
      <c r="G44">
        <v>1012.8</v>
      </c>
    </row>
    <row r="45" spans="1:7" x14ac:dyDescent="0.25">
      <c r="A45">
        <v>20140505</v>
      </c>
      <c r="B45" t="s">
        <v>147</v>
      </c>
      <c r="C45">
        <v>601989</v>
      </c>
      <c r="D45" t="s">
        <v>154</v>
      </c>
      <c r="E45">
        <v>300</v>
      </c>
      <c r="F45">
        <v>4.46</v>
      </c>
      <c r="G45">
        <v>-1343.18</v>
      </c>
    </row>
    <row r="46" spans="1:7" x14ac:dyDescent="0.25">
      <c r="A46">
        <v>20140520</v>
      </c>
      <c r="B46" t="s">
        <v>153</v>
      </c>
      <c r="C46">
        <v>2594</v>
      </c>
      <c r="D46" t="s">
        <v>149</v>
      </c>
      <c r="E46">
        <v>-3700</v>
      </c>
      <c r="F46">
        <v>41.38</v>
      </c>
      <c r="G46">
        <v>152629.06</v>
      </c>
    </row>
    <row r="47" spans="1:7" x14ac:dyDescent="0.25">
      <c r="A47">
        <v>20140521</v>
      </c>
      <c r="B47" t="s">
        <v>145</v>
      </c>
      <c r="E47">
        <v>0</v>
      </c>
      <c r="F47">
        <v>0</v>
      </c>
      <c r="G47">
        <v>-153001</v>
      </c>
    </row>
    <row r="48" spans="1:7" x14ac:dyDescent="0.25">
      <c r="A48">
        <v>20140605</v>
      </c>
      <c r="B48" t="s">
        <v>161</v>
      </c>
      <c r="C48">
        <v>651</v>
      </c>
      <c r="D48" t="s">
        <v>150</v>
      </c>
      <c r="E48">
        <v>0</v>
      </c>
      <c r="F48">
        <v>31.12</v>
      </c>
      <c r="G48">
        <v>15390</v>
      </c>
    </row>
    <row r="49" spans="1:7" x14ac:dyDescent="0.25">
      <c r="A49">
        <v>20140606</v>
      </c>
      <c r="B49" t="s">
        <v>162</v>
      </c>
      <c r="E49">
        <v>0</v>
      </c>
      <c r="F49">
        <v>0</v>
      </c>
      <c r="G49">
        <v>0</v>
      </c>
    </row>
    <row r="50" spans="1:7" x14ac:dyDescent="0.25">
      <c r="A50">
        <v>20140606</v>
      </c>
      <c r="B50" t="s">
        <v>163</v>
      </c>
      <c r="C50">
        <v>651</v>
      </c>
      <c r="D50" t="s">
        <v>150</v>
      </c>
      <c r="E50">
        <v>10800</v>
      </c>
      <c r="F50">
        <v>29.45</v>
      </c>
      <c r="G50">
        <v>0</v>
      </c>
    </row>
    <row r="51" spans="1:7" x14ac:dyDescent="0.25">
      <c r="A51">
        <v>20140606</v>
      </c>
      <c r="B51" t="s">
        <v>164</v>
      </c>
      <c r="E51">
        <v>0</v>
      </c>
      <c r="F51">
        <v>0</v>
      </c>
      <c r="G51">
        <v>0</v>
      </c>
    </row>
    <row r="52" spans="1:7" x14ac:dyDescent="0.25">
      <c r="A52">
        <v>20140606</v>
      </c>
      <c r="B52" t="s">
        <v>165</v>
      </c>
      <c r="C52">
        <v>651</v>
      </c>
      <c r="D52" t="s">
        <v>150</v>
      </c>
      <c r="E52">
        <v>-10800</v>
      </c>
      <c r="F52">
        <v>29.45</v>
      </c>
      <c r="G52">
        <v>0</v>
      </c>
    </row>
    <row r="53" spans="1:7" x14ac:dyDescent="0.25">
      <c r="A53">
        <v>20140609</v>
      </c>
      <c r="B53" t="s">
        <v>165</v>
      </c>
      <c r="C53">
        <v>651</v>
      </c>
      <c r="D53" t="s">
        <v>150</v>
      </c>
      <c r="E53">
        <v>-10800</v>
      </c>
      <c r="F53">
        <v>29.45</v>
      </c>
      <c r="G53">
        <v>0</v>
      </c>
    </row>
    <row r="54" spans="1:7" x14ac:dyDescent="0.25">
      <c r="A54">
        <v>20140609</v>
      </c>
      <c r="B54" t="s">
        <v>163</v>
      </c>
      <c r="C54">
        <v>651</v>
      </c>
      <c r="D54" t="s">
        <v>150</v>
      </c>
      <c r="E54">
        <v>10800</v>
      </c>
      <c r="F54">
        <v>29.45</v>
      </c>
      <c r="G54">
        <v>0</v>
      </c>
    </row>
    <row r="55" spans="1:7" x14ac:dyDescent="0.25">
      <c r="A55">
        <v>20140610</v>
      </c>
      <c r="B55" t="s">
        <v>146</v>
      </c>
      <c r="E55">
        <v>0</v>
      </c>
      <c r="F55">
        <v>0</v>
      </c>
      <c r="G55">
        <v>50000</v>
      </c>
    </row>
    <row r="56" spans="1:7" x14ac:dyDescent="0.25">
      <c r="A56">
        <v>20140610</v>
      </c>
      <c r="B56" t="s">
        <v>147</v>
      </c>
      <c r="C56">
        <v>601633</v>
      </c>
      <c r="D56" t="s">
        <v>166</v>
      </c>
      <c r="E56">
        <v>100</v>
      </c>
      <c r="F56">
        <v>26.54</v>
      </c>
      <c r="G56">
        <v>-2659.61</v>
      </c>
    </row>
    <row r="57" spans="1:7" x14ac:dyDescent="0.25">
      <c r="A57">
        <v>20140610</v>
      </c>
      <c r="B57" t="s">
        <v>147</v>
      </c>
      <c r="C57">
        <v>600028</v>
      </c>
      <c r="D57" t="s">
        <v>167</v>
      </c>
      <c r="E57">
        <v>100</v>
      </c>
      <c r="F57">
        <v>5.05</v>
      </c>
      <c r="G57">
        <v>-510.06</v>
      </c>
    </row>
    <row r="58" spans="1:7" x14ac:dyDescent="0.25">
      <c r="A58">
        <v>20140610</v>
      </c>
      <c r="B58" t="s">
        <v>147</v>
      </c>
      <c r="C58">
        <v>601088</v>
      </c>
      <c r="D58" t="s">
        <v>168</v>
      </c>
      <c r="E58">
        <v>100</v>
      </c>
      <c r="F58">
        <v>14.34</v>
      </c>
      <c r="G58">
        <v>-1439.06</v>
      </c>
    </row>
    <row r="59" spans="1:7" x14ac:dyDescent="0.25">
      <c r="A59">
        <v>20140610</v>
      </c>
      <c r="B59" t="s">
        <v>147</v>
      </c>
      <c r="C59">
        <v>600019</v>
      </c>
      <c r="D59" t="s">
        <v>169</v>
      </c>
      <c r="E59">
        <v>100</v>
      </c>
      <c r="F59">
        <v>3.93</v>
      </c>
      <c r="G59">
        <v>-398.06</v>
      </c>
    </row>
    <row r="60" spans="1:7" x14ac:dyDescent="0.25">
      <c r="A60">
        <v>20140610</v>
      </c>
      <c r="B60" t="s">
        <v>147</v>
      </c>
      <c r="C60">
        <v>2</v>
      </c>
      <c r="D60" t="s">
        <v>170</v>
      </c>
      <c r="E60">
        <v>100</v>
      </c>
      <c r="F60">
        <v>8.3800000000000008</v>
      </c>
      <c r="G60">
        <v>-843</v>
      </c>
    </row>
    <row r="61" spans="1:7" x14ac:dyDescent="0.25">
      <c r="A61">
        <v>20140610</v>
      </c>
      <c r="B61" t="s">
        <v>147</v>
      </c>
      <c r="C61">
        <v>725</v>
      </c>
      <c r="D61" t="s">
        <v>152</v>
      </c>
      <c r="E61">
        <v>100</v>
      </c>
      <c r="F61">
        <v>2.15</v>
      </c>
      <c r="G61">
        <v>-220</v>
      </c>
    </row>
    <row r="62" spans="1:7" x14ac:dyDescent="0.25">
      <c r="A62">
        <v>20140612</v>
      </c>
      <c r="B62" t="s">
        <v>171</v>
      </c>
      <c r="E62">
        <v>0</v>
      </c>
      <c r="F62">
        <v>0</v>
      </c>
      <c r="G62">
        <v>-58320</v>
      </c>
    </row>
    <row r="63" spans="1:7" x14ac:dyDescent="0.25">
      <c r="A63">
        <v>20140616</v>
      </c>
      <c r="B63" t="s">
        <v>146</v>
      </c>
      <c r="E63">
        <v>0</v>
      </c>
      <c r="F63">
        <v>0</v>
      </c>
      <c r="G63">
        <v>150000</v>
      </c>
    </row>
    <row r="64" spans="1:7" x14ac:dyDescent="0.25">
      <c r="A64">
        <v>20140616</v>
      </c>
      <c r="B64" t="s">
        <v>171</v>
      </c>
      <c r="E64">
        <v>0</v>
      </c>
      <c r="F64">
        <v>0</v>
      </c>
      <c r="G64">
        <v>-150000</v>
      </c>
    </row>
    <row r="65" spans="1:7" x14ac:dyDescent="0.25">
      <c r="A65">
        <v>20140618</v>
      </c>
      <c r="B65" t="s">
        <v>172</v>
      </c>
      <c r="E65">
        <v>0</v>
      </c>
      <c r="F65">
        <v>0</v>
      </c>
      <c r="G65">
        <v>208320</v>
      </c>
    </row>
    <row r="66" spans="1:7" x14ac:dyDescent="0.25">
      <c r="A66">
        <v>20140618</v>
      </c>
      <c r="B66" t="s">
        <v>173</v>
      </c>
      <c r="C66">
        <v>300386</v>
      </c>
      <c r="D66" t="s">
        <v>174</v>
      </c>
      <c r="E66">
        <v>6000</v>
      </c>
      <c r="F66">
        <v>33.130000000000003</v>
      </c>
      <c r="G66">
        <v>-198780</v>
      </c>
    </row>
    <row r="67" spans="1:7" x14ac:dyDescent="0.25">
      <c r="A67">
        <v>20140618</v>
      </c>
      <c r="B67" t="s">
        <v>173</v>
      </c>
      <c r="C67">
        <v>2726</v>
      </c>
      <c r="D67" t="s">
        <v>175</v>
      </c>
      <c r="E67">
        <v>1000</v>
      </c>
      <c r="F67">
        <v>9.7899999999999991</v>
      </c>
      <c r="G67">
        <v>-9790</v>
      </c>
    </row>
    <row r="68" spans="1:7" x14ac:dyDescent="0.25">
      <c r="A68">
        <v>20140619</v>
      </c>
      <c r="B68" t="s">
        <v>176</v>
      </c>
      <c r="C68">
        <v>300386</v>
      </c>
      <c r="D68" t="s">
        <v>174</v>
      </c>
      <c r="E68">
        <v>12</v>
      </c>
      <c r="F68">
        <v>33.130000000000003</v>
      </c>
      <c r="G68">
        <v>0</v>
      </c>
    </row>
    <row r="69" spans="1:7" x14ac:dyDescent="0.25">
      <c r="A69">
        <v>20140619</v>
      </c>
      <c r="B69" t="s">
        <v>176</v>
      </c>
      <c r="C69">
        <v>2726</v>
      </c>
      <c r="D69" t="s">
        <v>175</v>
      </c>
      <c r="E69">
        <v>2</v>
      </c>
      <c r="F69">
        <v>9.7899999999999991</v>
      </c>
      <c r="G69">
        <v>0</v>
      </c>
    </row>
    <row r="70" spans="1:7" x14ac:dyDescent="0.25">
      <c r="A70">
        <v>20140620</v>
      </c>
      <c r="B70" t="s">
        <v>160</v>
      </c>
      <c r="E70">
        <v>0</v>
      </c>
      <c r="F70">
        <v>0</v>
      </c>
      <c r="G70">
        <v>4.28</v>
      </c>
    </row>
    <row r="71" spans="1:7" x14ac:dyDescent="0.25">
      <c r="A71">
        <v>20140620</v>
      </c>
      <c r="B71" t="s">
        <v>177</v>
      </c>
      <c r="C71">
        <v>300386</v>
      </c>
      <c r="D71" t="s">
        <v>174</v>
      </c>
      <c r="E71">
        <v>-6000</v>
      </c>
      <c r="F71">
        <v>33.130000000000003</v>
      </c>
      <c r="G71">
        <v>198780</v>
      </c>
    </row>
    <row r="72" spans="1:7" x14ac:dyDescent="0.25">
      <c r="A72">
        <v>20140620</v>
      </c>
      <c r="B72" t="s">
        <v>177</v>
      </c>
      <c r="C72">
        <v>2726</v>
      </c>
      <c r="D72" t="s">
        <v>175</v>
      </c>
      <c r="E72">
        <v>-1000</v>
      </c>
      <c r="F72">
        <v>9.7899999999999991</v>
      </c>
      <c r="G72">
        <v>9790</v>
      </c>
    </row>
    <row r="73" spans="1:7" x14ac:dyDescent="0.25">
      <c r="A73">
        <v>20140623</v>
      </c>
      <c r="B73" t="s">
        <v>171</v>
      </c>
      <c r="E73">
        <v>0</v>
      </c>
      <c r="F73">
        <v>0</v>
      </c>
      <c r="G73">
        <v>-208324</v>
      </c>
    </row>
    <row r="74" spans="1:7" x14ac:dyDescent="0.25">
      <c r="A74">
        <v>20140625</v>
      </c>
      <c r="B74" t="s">
        <v>172</v>
      </c>
      <c r="E74">
        <v>0</v>
      </c>
      <c r="F74">
        <v>0</v>
      </c>
      <c r="G74">
        <v>31015</v>
      </c>
    </row>
    <row r="75" spans="1:7" x14ac:dyDescent="0.25">
      <c r="A75">
        <v>20140625</v>
      </c>
      <c r="B75" t="s">
        <v>147</v>
      </c>
      <c r="C75">
        <v>2</v>
      </c>
      <c r="D75" t="s">
        <v>170</v>
      </c>
      <c r="E75">
        <v>4000</v>
      </c>
      <c r="F75">
        <v>7.98</v>
      </c>
      <c r="G75">
        <v>-31942.82</v>
      </c>
    </row>
    <row r="76" spans="1:7" x14ac:dyDescent="0.25">
      <c r="A76">
        <v>20140627</v>
      </c>
      <c r="B76" t="s">
        <v>161</v>
      </c>
      <c r="C76">
        <v>601989</v>
      </c>
      <c r="D76" t="s">
        <v>154</v>
      </c>
      <c r="E76">
        <v>-300</v>
      </c>
      <c r="F76">
        <v>0</v>
      </c>
      <c r="G76">
        <v>13.11</v>
      </c>
    </row>
    <row r="77" spans="1:7" x14ac:dyDescent="0.25">
      <c r="A77">
        <v>20140627</v>
      </c>
      <c r="B77" t="s">
        <v>161</v>
      </c>
      <c r="C77">
        <v>600019</v>
      </c>
      <c r="D77" t="s">
        <v>169</v>
      </c>
      <c r="E77">
        <v>-100</v>
      </c>
      <c r="F77">
        <v>0</v>
      </c>
      <c r="G77">
        <v>9.5</v>
      </c>
    </row>
    <row r="78" spans="1:7" x14ac:dyDescent="0.25">
      <c r="A78">
        <v>20140702</v>
      </c>
      <c r="B78" t="s">
        <v>172</v>
      </c>
      <c r="E78">
        <v>0</v>
      </c>
      <c r="F78">
        <v>0</v>
      </c>
      <c r="G78">
        <v>177309</v>
      </c>
    </row>
    <row r="79" spans="1:7" x14ac:dyDescent="0.25">
      <c r="A79">
        <v>20140702</v>
      </c>
      <c r="B79" t="s">
        <v>147</v>
      </c>
      <c r="C79">
        <v>110018</v>
      </c>
      <c r="D79" t="s">
        <v>178</v>
      </c>
      <c r="E79">
        <v>1690</v>
      </c>
      <c r="F79">
        <v>104.5</v>
      </c>
      <c r="G79">
        <v>-176640.32</v>
      </c>
    </row>
    <row r="80" spans="1:7" x14ac:dyDescent="0.25">
      <c r="A80">
        <v>20140711</v>
      </c>
      <c r="B80" t="s">
        <v>172</v>
      </c>
      <c r="E80">
        <v>0</v>
      </c>
      <c r="F80">
        <v>0</v>
      </c>
      <c r="G80">
        <v>203.15</v>
      </c>
    </row>
    <row r="81" spans="1:7" x14ac:dyDescent="0.25">
      <c r="A81">
        <v>20140711</v>
      </c>
      <c r="B81" t="s">
        <v>161</v>
      </c>
      <c r="C81">
        <v>601088</v>
      </c>
      <c r="D81" t="s">
        <v>168</v>
      </c>
      <c r="E81">
        <v>-100</v>
      </c>
      <c r="F81">
        <v>0</v>
      </c>
      <c r="G81">
        <v>86.45</v>
      </c>
    </row>
    <row r="82" spans="1:7" x14ac:dyDescent="0.25">
      <c r="A82">
        <v>20140806</v>
      </c>
      <c r="B82" t="s">
        <v>146</v>
      </c>
      <c r="E82">
        <v>0</v>
      </c>
      <c r="F82">
        <v>0</v>
      </c>
      <c r="G82">
        <v>40000</v>
      </c>
    </row>
    <row r="83" spans="1:7" x14ac:dyDescent="0.25">
      <c r="A83">
        <v>20140806</v>
      </c>
      <c r="B83" t="s">
        <v>147</v>
      </c>
      <c r="C83">
        <v>113001</v>
      </c>
      <c r="D83" t="s">
        <v>179</v>
      </c>
      <c r="E83">
        <v>390</v>
      </c>
      <c r="F83">
        <v>103.18</v>
      </c>
      <c r="G83">
        <v>-40248.25</v>
      </c>
    </row>
    <row r="84" spans="1:7" x14ac:dyDescent="0.25">
      <c r="A84">
        <v>20140807</v>
      </c>
      <c r="B84" t="s">
        <v>146</v>
      </c>
      <c r="E84">
        <v>0</v>
      </c>
      <c r="F84">
        <v>0</v>
      </c>
      <c r="G84">
        <v>95000</v>
      </c>
    </row>
    <row r="85" spans="1:7" x14ac:dyDescent="0.25">
      <c r="A85">
        <v>20140807</v>
      </c>
      <c r="B85" t="s">
        <v>171</v>
      </c>
      <c r="E85">
        <v>0</v>
      </c>
      <c r="F85">
        <v>0</v>
      </c>
      <c r="G85">
        <v>-94805</v>
      </c>
    </row>
    <row r="86" spans="1:7" x14ac:dyDescent="0.25">
      <c r="A86">
        <v>20140812</v>
      </c>
      <c r="B86" t="s">
        <v>172</v>
      </c>
      <c r="E86">
        <v>0</v>
      </c>
      <c r="F86">
        <v>0</v>
      </c>
      <c r="G86">
        <v>29.17</v>
      </c>
    </row>
    <row r="87" spans="1:7" x14ac:dyDescent="0.25">
      <c r="A87">
        <v>20140822</v>
      </c>
      <c r="B87" t="s">
        <v>161</v>
      </c>
      <c r="C87">
        <v>110018</v>
      </c>
      <c r="D87" t="s">
        <v>178</v>
      </c>
      <c r="E87">
        <v>0</v>
      </c>
      <c r="F87">
        <v>0</v>
      </c>
      <c r="G87">
        <v>1352</v>
      </c>
    </row>
    <row r="88" spans="1:7" x14ac:dyDescent="0.25">
      <c r="A88">
        <v>20140825</v>
      </c>
      <c r="B88" t="s">
        <v>146</v>
      </c>
      <c r="E88">
        <v>0</v>
      </c>
      <c r="F88">
        <v>0</v>
      </c>
      <c r="G88">
        <v>1000000</v>
      </c>
    </row>
    <row r="89" spans="1:7" x14ac:dyDescent="0.25">
      <c r="A89">
        <v>20140825</v>
      </c>
      <c r="B89" t="s">
        <v>171</v>
      </c>
      <c r="E89">
        <v>0</v>
      </c>
      <c r="F89">
        <v>0</v>
      </c>
      <c r="G89">
        <v>-1001381</v>
      </c>
    </row>
    <row r="90" spans="1:7" x14ac:dyDescent="0.25">
      <c r="A90">
        <v>20140826</v>
      </c>
      <c r="B90" t="s">
        <v>172</v>
      </c>
      <c r="E90">
        <v>0</v>
      </c>
      <c r="F90">
        <v>0</v>
      </c>
      <c r="G90">
        <v>110775</v>
      </c>
    </row>
    <row r="91" spans="1:7" x14ac:dyDescent="0.25">
      <c r="A91">
        <v>20140826</v>
      </c>
      <c r="B91" t="s">
        <v>147</v>
      </c>
      <c r="C91">
        <v>113001</v>
      </c>
      <c r="D91" t="s">
        <v>179</v>
      </c>
      <c r="E91">
        <v>3000</v>
      </c>
      <c r="F91">
        <v>102.67</v>
      </c>
      <c r="G91">
        <v>-308071.59999999998</v>
      </c>
    </row>
    <row r="92" spans="1:7" x14ac:dyDescent="0.25">
      <c r="A92">
        <v>20140826</v>
      </c>
      <c r="B92" t="s">
        <v>153</v>
      </c>
      <c r="C92">
        <v>110023</v>
      </c>
      <c r="D92" t="s">
        <v>156</v>
      </c>
      <c r="E92">
        <v>-2110</v>
      </c>
      <c r="F92">
        <v>93.05</v>
      </c>
      <c r="G92">
        <v>196296.23</v>
      </c>
    </row>
    <row r="93" spans="1:7" x14ac:dyDescent="0.25">
      <c r="A93">
        <v>20140828</v>
      </c>
      <c r="B93" t="s">
        <v>172</v>
      </c>
      <c r="E93">
        <v>0</v>
      </c>
      <c r="F93">
        <v>0</v>
      </c>
      <c r="G93">
        <v>963168</v>
      </c>
    </row>
    <row r="94" spans="1:7" x14ac:dyDescent="0.25">
      <c r="A94">
        <v>20140828</v>
      </c>
      <c r="B94" t="s">
        <v>147</v>
      </c>
      <c r="C94">
        <v>600036</v>
      </c>
      <c r="D94" t="s">
        <v>151</v>
      </c>
      <c r="E94">
        <v>10000</v>
      </c>
      <c r="F94">
        <v>10.57</v>
      </c>
      <c r="G94">
        <v>-105778.89</v>
      </c>
    </row>
    <row r="95" spans="1:7" x14ac:dyDescent="0.25">
      <c r="A95">
        <v>20140828</v>
      </c>
      <c r="B95" t="s">
        <v>147</v>
      </c>
      <c r="C95">
        <v>601989</v>
      </c>
      <c r="D95" t="s">
        <v>154</v>
      </c>
      <c r="E95">
        <v>20000</v>
      </c>
      <c r="F95">
        <v>4.99</v>
      </c>
      <c r="G95">
        <v>-99880.82</v>
      </c>
    </row>
    <row r="96" spans="1:7" x14ac:dyDescent="0.25">
      <c r="A96">
        <v>20140828</v>
      </c>
      <c r="B96" t="s">
        <v>147</v>
      </c>
      <c r="C96">
        <v>600019</v>
      </c>
      <c r="D96" t="s">
        <v>169</v>
      </c>
      <c r="E96">
        <v>20000</v>
      </c>
      <c r="F96">
        <v>4.3600000000000003</v>
      </c>
      <c r="G96">
        <v>-87272.13</v>
      </c>
    </row>
    <row r="97" spans="1:7" x14ac:dyDescent="0.25">
      <c r="A97">
        <v>20140828</v>
      </c>
      <c r="B97" t="s">
        <v>173</v>
      </c>
      <c r="C97">
        <v>300395</v>
      </c>
      <c r="D97" t="s">
        <v>180</v>
      </c>
      <c r="E97">
        <v>6000</v>
      </c>
      <c r="F97">
        <v>19.13</v>
      </c>
      <c r="G97">
        <v>-114780</v>
      </c>
    </row>
    <row r="98" spans="1:7" x14ac:dyDescent="0.25">
      <c r="A98">
        <v>20140828</v>
      </c>
      <c r="B98" t="s">
        <v>173</v>
      </c>
      <c r="C98">
        <v>300393</v>
      </c>
      <c r="D98" t="s">
        <v>181</v>
      </c>
      <c r="E98">
        <v>11500</v>
      </c>
      <c r="F98">
        <v>16.420000000000002</v>
      </c>
      <c r="G98">
        <v>-188830</v>
      </c>
    </row>
    <row r="99" spans="1:7" x14ac:dyDescent="0.25">
      <c r="A99">
        <v>20140828</v>
      </c>
      <c r="B99" t="s">
        <v>173</v>
      </c>
      <c r="C99">
        <v>300397</v>
      </c>
      <c r="D99" t="s">
        <v>182</v>
      </c>
      <c r="E99">
        <v>12000</v>
      </c>
      <c r="F99">
        <v>24.05</v>
      </c>
      <c r="G99">
        <v>-288600</v>
      </c>
    </row>
    <row r="100" spans="1:7" x14ac:dyDescent="0.25">
      <c r="A100">
        <v>20140828</v>
      </c>
      <c r="B100" t="s">
        <v>173</v>
      </c>
      <c r="C100">
        <v>2729</v>
      </c>
      <c r="D100" t="s">
        <v>183</v>
      </c>
      <c r="E100">
        <v>6500</v>
      </c>
      <c r="F100">
        <v>11.9</v>
      </c>
      <c r="G100">
        <v>-77350</v>
      </c>
    </row>
    <row r="101" spans="1:7" x14ac:dyDescent="0.25">
      <c r="A101">
        <v>20140829</v>
      </c>
      <c r="B101" t="s">
        <v>146</v>
      </c>
      <c r="E101">
        <v>0</v>
      </c>
      <c r="F101">
        <v>0</v>
      </c>
      <c r="G101">
        <v>50000</v>
      </c>
    </row>
    <row r="102" spans="1:7" x14ac:dyDescent="0.25">
      <c r="A102">
        <v>20140829</v>
      </c>
      <c r="B102" t="s">
        <v>172</v>
      </c>
      <c r="E102">
        <v>0</v>
      </c>
      <c r="F102">
        <v>0</v>
      </c>
      <c r="G102">
        <v>22243</v>
      </c>
    </row>
    <row r="103" spans="1:7" x14ac:dyDescent="0.25">
      <c r="A103">
        <v>20140829</v>
      </c>
      <c r="B103" t="s">
        <v>173</v>
      </c>
      <c r="C103">
        <v>300396</v>
      </c>
      <c r="D103" t="s">
        <v>184</v>
      </c>
      <c r="E103">
        <v>2000</v>
      </c>
      <c r="F103">
        <v>29.54</v>
      </c>
      <c r="G103">
        <v>-59080</v>
      </c>
    </row>
    <row r="104" spans="1:7" x14ac:dyDescent="0.25">
      <c r="A104">
        <v>20140829</v>
      </c>
      <c r="B104" t="s">
        <v>173</v>
      </c>
      <c r="C104">
        <v>300392</v>
      </c>
      <c r="D104" t="s">
        <v>185</v>
      </c>
      <c r="E104">
        <v>500</v>
      </c>
      <c r="F104">
        <v>26.1</v>
      </c>
      <c r="G104">
        <v>-13050</v>
      </c>
    </row>
    <row r="105" spans="1:7" x14ac:dyDescent="0.25">
      <c r="A105">
        <v>20140829</v>
      </c>
      <c r="B105" t="s">
        <v>176</v>
      </c>
      <c r="C105">
        <v>300395</v>
      </c>
      <c r="D105" t="s">
        <v>180</v>
      </c>
      <c r="E105">
        <v>12</v>
      </c>
      <c r="F105">
        <v>19.13</v>
      </c>
      <c r="G105">
        <v>0</v>
      </c>
    </row>
    <row r="106" spans="1:7" x14ac:dyDescent="0.25">
      <c r="A106">
        <v>20140829</v>
      </c>
      <c r="B106" t="s">
        <v>176</v>
      </c>
      <c r="C106">
        <v>300393</v>
      </c>
      <c r="D106" t="s">
        <v>181</v>
      </c>
      <c r="E106">
        <v>23</v>
      </c>
      <c r="F106">
        <v>16.420000000000002</v>
      </c>
      <c r="G106">
        <v>0</v>
      </c>
    </row>
    <row r="107" spans="1:7" x14ac:dyDescent="0.25">
      <c r="A107">
        <v>20140829</v>
      </c>
      <c r="B107" t="s">
        <v>176</v>
      </c>
      <c r="C107">
        <v>300397</v>
      </c>
      <c r="D107" t="s">
        <v>182</v>
      </c>
      <c r="E107">
        <v>24</v>
      </c>
      <c r="F107">
        <v>24.05</v>
      </c>
      <c r="G107">
        <v>0</v>
      </c>
    </row>
    <row r="108" spans="1:7" x14ac:dyDescent="0.25">
      <c r="A108">
        <v>20140829</v>
      </c>
      <c r="B108" t="s">
        <v>176</v>
      </c>
      <c r="C108">
        <v>2729</v>
      </c>
      <c r="D108" t="s">
        <v>183</v>
      </c>
      <c r="E108">
        <v>13</v>
      </c>
      <c r="F108">
        <v>11.9</v>
      </c>
      <c r="G108">
        <v>0</v>
      </c>
    </row>
    <row r="109" spans="1:7" x14ac:dyDescent="0.25">
      <c r="A109">
        <v>20140901</v>
      </c>
      <c r="B109" t="s">
        <v>177</v>
      </c>
      <c r="C109">
        <v>300395</v>
      </c>
      <c r="D109" t="s">
        <v>180</v>
      </c>
      <c r="E109">
        <v>-6000</v>
      </c>
      <c r="F109">
        <v>19.13</v>
      </c>
      <c r="G109">
        <v>114780</v>
      </c>
    </row>
    <row r="110" spans="1:7" x14ac:dyDescent="0.25">
      <c r="A110">
        <v>20140901</v>
      </c>
      <c r="B110" t="s">
        <v>177</v>
      </c>
      <c r="C110">
        <v>300393</v>
      </c>
      <c r="D110" t="s">
        <v>181</v>
      </c>
      <c r="E110">
        <v>-11500</v>
      </c>
      <c r="F110">
        <v>16.420000000000002</v>
      </c>
      <c r="G110">
        <v>188830</v>
      </c>
    </row>
    <row r="111" spans="1:7" x14ac:dyDescent="0.25">
      <c r="A111">
        <v>20140901</v>
      </c>
      <c r="B111" t="s">
        <v>177</v>
      </c>
      <c r="C111">
        <v>300397</v>
      </c>
      <c r="D111" t="s">
        <v>182</v>
      </c>
      <c r="E111">
        <v>-12000</v>
      </c>
      <c r="F111">
        <v>24.05</v>
      </c>
      <c r="G111">
        <v>288600</v>
      </c>
    </row>
    <row r="112" spans="1:7" x14ac:dyDescent="0.25">
      <c r="A112">
        <v>20140901</v>
      </c>
      <c r="B112" t="s">
        <v>177</v>
      </c>
      <c r="C112">
        <v>2729</v>
      </c>
      <c r="D112" t="s">
        <v>183</v>
      </c>
      <c r="E112">
        <v>-6500</v>
      </c>
      <c r="F112">
        <v>11.9</v>
      </c>
      <c r="G112">
        <v>77350</v>
      </c>
    </row>
    <row r="113" spans="1:7" x14ac:dyDescent="0.25">
      <c r="A113">
        <v>20140901</v>
      </c>
      <c r="B113" t="s">
        <v>176</v>
      </c>
      <c r="C113">
        <v>300396</v>
      </c>
      <c r="D113" t="s">
        <v>184</v>
      </c>
      <c r="E113">
        <v>4</v>
      </c>
      <c r="F113">
        <v>29.54</v>
      </c>
      <c r="G113">
        <v>0</v>
      </c>
    </row>
    <row r="114" spans="1:7" x14ac:dyDescent="0.25">
      <c r="A114">
        <v>20140901</v>
      </c>
      <c r="B114" t="s">
        <v>176</v>
      </c>
      <c r="C114">
        <v>300392</v>
      </c>
      <c r="D114" t="s">
        <v>185</v>
      </c>
      <c r="E114">
        <v>1</v>
      </c>
      <c r="F114">
        <v>26.1</v>
      </c>
      <c r="G114">
        <v>0</v>
      </c>
    </row>
    <row r="115" spans="1:7" x14ac:dyDescent="0.25">
      <c r="A115">
        <v>20140901</v>
      </c>
      <c r="B115" t="s">
        <v>186</v>
      </c>
      <c r="C115">
        <v>300397</v>
      </c>
      <c r="D115" t="s">
        <v>182</v>
      </c>
      <c r="E115">
        <v>500</v>
      </c>
      <c r="F115">
        <v>24.05</v>
      </c>
      <c r="G115">
        <v>-12025</v>
      </c>
    </row>
    <row r="116" spans="1:7" x14ac:dyDescent="0.25">
      <c r="A116">
        <v>20140902</v>
      </c>
      <c r="B116" t="s">
        <v>171</v>
      </c>
      <c r="E116">
        <v>0</v>
      </c>
      <c r="F116">
        <v>0</v>
      </c>
      <c r="G116">
        <v>-657324</v>
      </c>
    </row>
    <row r="117" spans="1:7" x14ac:dyDescent="0.25">
      <c r="A117">
        <v>20140902</v>
      </c>
      <c r="B117" t="s">
        <v>187</v>
      </c>
      <c r="C117">
        <v>300397</v>
      </c>
      <c r="D117" t="s">
        <v>182</v>
      </c>
      <c r="E117">
        <v>500</v>
      </c>
      <c r="F117">
        <v>24.05</v>
      </c>
      <c r="G117">
        <v>0</v>
      </c>
    </row>
    <row r="118" spans="1:7" x14ac:dyDescent="0.25">
      <c r="A118">
        <v>20140902</v>
      </c>
      <c r="B118" t="s">
        <v>177</v>
      </c>
      <c r="C118">
        <v>300396</v>
      </c>
      <c r="D118" t="s">
        <v>184</v>
      </c>
      <c r="E118">
        <v>-2000</v>
      </c>
      <c r="F118">
        <v>29.54</v>
      </c>
      <c r="G118">
        <v>59080</v>
      </c>
    </row>
    <row r="119" spans="1:7" x14ac:dyDescent="0.25">
      <c r="A119">
        <v>20140902</v>
      </c>
      <c r="B119" t="s">
        <v>177</v>
      </c>
      <c r="C119">
        <v>300392</v>
      </c>
      <c r="D119" t="s">
        <v>185</v>
      </c>
      <c r="E119">
        <v>-500</v>
      </c>
      <c r="F119">
        <v>26.1</v>
      </c>
      <c r="G119">
        <v>13050</v>
      </c>
    </row>
    <row r="120" spans="1:7" x14ac:dyDescent="0.25">
      <c r="A120">
        <v>20140903</v>
      </c>
      <c r="B120" t="s">
        <v>171</v>
      </c>
      <c r="E120">
        <v>0</v>
      </c>
      <c r="F120">
        <v>0</v>
      </c>
      <c r="G120">
        <v>-72130</v>
      </c>
    </row>
    <row r="121" spans="1:7" x14ac:dyDescent="0.25">
      <c r="A121">
        <v>20140905</v>
      </c>
      <c r="B121" t="s">
        <v>172</v>
      </c>
      <c r="E121">
        <v>0</v>
      </c>
      <c r="F121">
        <v>0</v>
      </c>
      <c r="G121">
        <v>247593</v>
      </c>
    </row>
    <row r="122" spans="1:7" x14ac:dyDescent="0.25">
      <c r="A122">
        <v>20140905</v>
      </c>
      <c r="B122" t="s">
        <v>147</v>
      </c>
      <c r="C122">
        <v>500011</v>
      </c>
      <c r="D122" t="s">
        <v>188</v>
      </c>
      <c r="E122">
        <v>100000</v>
      </c>
      <c r="F122">
        <v>1.0820000000000001</v>
      </c>
      <c r="G122">
        <v>-108269.79</v>
      </c>
    </row>
    <row r="123" spans="1:7" x14ac:dyDescent="0.25">
      <c r="A123">
        <v>20140905</v>
      </c>
      <c r="B123" t="s">
        <v>147</v>
      </c>
      <c r="C123">
        <v>150018</v>
      </c>
      <c r="D123" t="s">
        <v>189</v>
      </c>
      <c r="E123">
        <v>150000</v>
      </c>
      <c r="F123">
        <v>0.93100000000000005</v>
      </c>
      <c r="G123">
        <v>-139747.41</v>
      </c>
    </row>
    <row r="124" spans="1:7" x14ac:dyDescent="0.25">
      <c r="A124">
        <v>20140905</v>
      </c>
      <c r="B124" t="s">
        <v>161</v>
      </c>
      <c r="C124">
        <v>113002</v>
      </c>
      <c r="D124" t="s">
        <v>157</v>
      </c>
      <c r="E124">
        <v>0</v>
      </c>
      <c r="F124">
        <v>0</v>
      </c>
      <c r="G124">
        <v>1232</v>
      </c>
    </row>
    <row r="125" spans="1:7" x14ac:dyDescent="0.25">
      <c r="A125">
        <v>20140910</v>
      </c>
      <c r="B125" t="s">
        <v>172</v>
      </c>
      <c r="E125">
        <v>0</v>
      </c>
      <c r="F125">
        <v>0</v>
      </c>
      <c r="G125">
        <v>196195</v>
      </c>
    </row>
    <row r="126" spans="1:7" x14ac:dyDescent="0.25">
      <c r="A126">
        <v>20140910</v>
      </c>
      <c r="B126" t="s">
        <v>147</v>
      </c>
      <c r="C126">
        <v>113001</v>
      </c>
      <c r="D126" t="s">
        <v>179</v>
      </c>
      <c r="E126">
        <v>1000</v>
      </c>
      <c r="F126">
        <v>103.7</v>
      </c>
      <c r="G126">
        <v>-103720.74</v>
      </c>
    </row>
    <row r="127" spans="1:7" x14ac:dyDescent="0.25">
      <c r="A127">
        <v>20140910</v>
      </c>
      <c r="B127" t="s">
        <v>147</v>
      </c>
      <c r="C127">
        <v>150018</v>
      </c>
      <c r="D127" t="s">
        <v>189</v>
      </c>
      <c r="E127">
        <v>100000</v>
      </c>
      <c r="F127">
        <v>0.94</v>
      </c>
      <c r="G127">
        <v>-94065.57</v>
      </c>
    </row>
    <row r="128" spans="1:7" x14ac:dyDescent="0.25">
      <c r="A128">
        <v>20140911</v>
      </c>
      <c r="B128" t="s">
        <v>172</v>
      </c>
      <c r="E128">
        <v>0</v>
      </c>
      <c r="F128">
        <v>0</v>
      </c>
      <c r="G128">
        <v>752.6</v>
      </c>
    </row>
    <row r="129" spans="1:7" x14ac:dyDescent="0.25">
      <c r="A129">
        <v>20140915</v>
      </c>
      <c r="B129" t="s">
        <v>190</v>
      </c>
      <c r="C129">
        <v>500011</v>
      </c>
      <c r="D129" t="s">
        <v>188</v>
      </c>
      <c r="E129">
        <v>-100000</v>
      </c>
      <c r="F129">
        <v>1.0960000000000001</v>
      </c>
      <c r="G129">
        <v>0</v>
      </c>
    </row>
    <row r="130" spans="1:7" x14ac:dyDescent="0.25">
      <c r="A130">
        <v>20140918</v>
      </c>
      <c r="B130" t="s">
        <v>172</v>
      </c>
      <c r="E130">
        <v>0</v>
      </c>
      <c r="F130">
        <v>0</v>
      </c>
      <c r="G130">
        <v>211551</v>
      </c>
    </row>
    <row r="131" spans="1:7" x14ac:dyDescent="0.25">
      <c r="A131">
        <v>20140918</v>
      </c>
      <c r="B131" t="s">
        <v>173</v>
      </c>
      <c r="C131">
        <v>790016</v>
      </c>
      <c r="D131" t="s">
        <v>191</v>
      </c>
      <c r="E131">
        <v>20000</v>
      </c>
      <c r="F131">
        <v>2.17</v>
      </c>
      <c r="G131">
        <v>-43400</v>
      </c>
    </row>
    <row r="132" spans="1:7" x14ac:dyDescent="0.25">
      <c r="A132">
        <v>20140918</v>
      </c>
      <c r="B132" t="s">
        <v>173</v>
      </c>
      <c r="C132">
        <v>734306</v>
      </c>
      <c r="D132" t="s">
        <v>191</v>
      </c>
      <c r="E132">
        <v>14000</v>
      </c>
      <c r="F132">
        <v>12.08</v>
      </c>
      <c r="G132">
        <v>-169120</v>
      </c>
    </row>
    <row r="133" spans="1:7" x14ac:dyDescent="0.25">
      <c r="A133">
        <v>20140919</v>
      </c>
      <c r="B133" t="s">
        <v>160</v>
      </c>
      <c r="E133">
        <v>0</v>
      </c>
      <c r="F133">
        <v>0</v>
      </c>
      <c r="G133">
        <v>14.02</v>
      </c>
    </row>
    <row r="134" spans="1:7" x14ac:dyDescent="0.25">
      <c r="A134">
        <v>20140919</v>
      </c>
      <c r="B134" t="s">
        <v>176</v>
      </c>
      <c r="C134">
        <v>736306</v>
      </c>
      <c r="D134" t="s">
        <v>192</v>
      </c>
      <c r="E134">
        <v>14</v>
      </c>
      <c r="F134">
        <v>12.08</v>
      </c>
      <c r="G134">
        <v>0</v>
      </c>
    </row>
    <row r="135" spans="1:7" x14ac:dyDescent="0.25">
      <c r="A135">
        <v>20140919</v>
      </c>
      <c r="B135" t="s">
        <v>176</v>
      </c>
      <c r="C135">
        <v>791016</v>
      </c>
      <c r="D135" t="s">
        <v>193</v>
      </c>
      <c r="E135">
        <v>20</v>
      </c>
      <c r="F135">
        <v>2.17</v>
      </c>
      <c r="G135">
        <v>0</v>
      </c>
    </row>
    <row r="136" spans="1:7" x14ac:dyDescent="0.25">
      <c r="A136">
        <v>20140922</v>
      </c>
      <c r="B136" t="s">
        <v>146</v>
      </c>
      <c r="E136">
        <v>0</v>
      </c>
      <c r="F136">
        <v>0</v>
      </c>
      <c r="G136">
        <v>200000</v>
      </c>
    </row>
    <row r="137" spans="1:7" x14ac:dyDescent="0.25">
      <c r="A137">
        <v>20140922</v>
      </c>
      <c r="B137" t="s">
        <v>171</v>
      </c>
      <c r="E137">
        <v>0</v>
      </c>
      <c r="F137">
        <v>0</v>
      </c>
      <c r="G137">
        <v>-124264</v>
      </c>
    </row>
    <row r="138" spans="1:7" x14ac:dyDescent="0.25">
      <c r="A138">
        <v>20140922</v>
      </c>
      <c r="B138" t="s">
        <v>177</v>
      </c>
      <c r="C138">
        <v>790016</v>
      </c>
      <c r="D138" t="s">
        <v>191</v>
      </c>
      <c r="E138">
        <v>-20000</v>
      </c>
      <c r="F138">
        <v>2.17</v>
      </c>
      <c r="G138">
        <v>43400</v>
      </c>
    </row>
    <row r="139" spans="1:7" x14ac:dyDescent="0.25">
      <c r="A139">
        <v>20140922</v>
      </c>
      <c r="B139" t="s">
        <v>177</v>
      </c>
      <c r="C139">
        <v>734306</v>
      </c>
      <c r="D139" t="s">
        <v>191</v>
      </c>
      <c r="E139">
        <v>-14000</v>
      </c>
      <c r="F139">
        <v>12.08</v>
      </c>
      <c r="G139">
        <v>169120</v>
      </c>
    </row>
    <row r="140" spans="1:7" x14ac:dyDescent="0.25">
      <c r="A140">
        <v>20140922</v>
      </c>
      <c r="B140" t="s">
        <v>173</v>
      </c>
      <c r="C140">
        <v>740917</v>
      </c>
      <c r="D140" t="s">
        <v>191</v>
      </c>
      <c r="E140">
        <v>23000</v>
      </c>
      <c r="F140">
        <v>3.25</v>
      </c>
      <c r="G140">
        <v>-74750</v>
      </c>
    </row>
    <row r="141" spans="1:7" x14ac:dyDescent="0.25">
      <c r="A141">
        <v>20140923</v>
      </c>
      <c r="B141" t="s">
        <v>171</v>
      </c>
      <c r="E141">
        <v>0</v>
      </c>
      <c r="F141">
        <v>0</v>
      </c>
      <c r="G141">
        <v>-212520</v>
      </c>
    </row>
    <row r="142" spans="1:7" x14ac:dyDescent="0.25">
      <c r="A142">
        <v>20140923</v>
      </c>
      <c r="B142" t="s">
        <v>176</v>
      </c>
      <c r="C142">
        <v>741917</v>
      </c>
      <c r="D142" t="s">
        <v>194</v>
      </c>
      <c r="E142">
        <v>23</v>
      </c>
      <c r="F142">
        <v>3.25</v>
      </c>
      <c r="G142">
        <v>0</v>
      </c>
    </row>
    <row r="143" spans="1:7" x14ac:dyDescent="0.25">
      <c r="A143">
        <v>20140923</v>
      </c>
      <c r="B143" t="s">
        <v>161</v>
      </c>
      <c r="C143">
        <v>600028</v>
      </c>
      <c r="D143" t="s">
        <v>167</v>
      </c>
      <c r="E143">
        <v>-100</v>
      </c>
      <c r="F143">
        <v>0</v>
      </c>
      <c r="G143">
        <v>8.5500000000000007</v>
      </c>
    </row>
    <row r="144" spans="1:7" x14ac:dyDescent="0.25">
      <c r="A144">
        <v>20140924</v>
      </c>
      <c r="B144" t="s">
        <v>146</v>
      </c>
      <c r="E144">
        <v>0</v>
      </c>
      <c r="F144">
        <v>0</v>
      </c>
      <c r="G144">
        <v>650000</v>
      </c>
    </row>
    <row r="145" spans="1:7" x14ac:dyDescent="0.25">
      <c r="A145">
        <v>20140924</v>
      </c>
      <c r="B145" t="s">
        <v>172</v>
      </c>
      <c r="E145">
        <v>0</v>
      </c>
      <c r="F145">
        <v>0</v>
      </c>
      <c r="G145">
        <v>407858</v>
      </c>
    </row>
    <row r="146" spans="1:7" x14ac:dyDescent="0.25">
      <c r="A146">
        <v>20140924</v>
      </c>
      <c r="B146" t="s">
        <v>173</v>
      </c>
      <c r="C146">
        <v>734169</v>
      </c>
      <c r="D146" t="s">
        <v>191</v>
      </c>
      <c r="E146">
        <v>26000</v>
      </c>
      <c r="F146">
        <v>1.68</v>
      </c>
      <c r="G146">
        <v>-43680</v>
      </c>
    </row>
    <row r="147" spans="1:7" x14ac:dyDescent="0.25">
      <c r="A147">
        <v>20140924</v>
      </c>
      <c r="B147" t="s">
        <v>173</v>
      </c>
      <c r="C147">
        <v>734456</v>
      </c>
      <c r="D147" t="s">
        <v>191</v>
      </c>
      <c r="E147">
        <v>15000</v>
      </c>
      <c r="F147">
        <v>15.43</v>
      </c>
      <c r="G147">
        <v>-231450</v>
      </c>
    </row>
    <row r="148" spans="1:7" x14ac:dyDescent="0.25">
      <c r="A148">
        <v>20140924</v>
      </c>
      <c r="B148" t="s">
        <v>173</v>
      </c>
      <c r="C148">
        <v>734010</v>
      </c>
      <c r="D148" t="s">
        <v>191</v>
      </c>
      <c r="E148">
        <v>10000</v>
      </c>
      <c r="F148">
        <v>11.7</v>
      </c>
      <c r="G148">
        <v>-117000</v>
      </c>
    </row>
    <row r="149" spans="1:7" x14ac:dyDescent="0.25">
      <c r="A149">
        <v>20140924</v>
      </c>
      <c r="B149" t="s">
        <v>173</v>
      </c>
      <c r="C149">
        <v>734018</v>
      </c>
      <c r="D149" t="s">
        <v>191</v>
      </c>
      <c r="E149">
        <v>10000</v>
      </c>
      <c r="F149">
        <v>32.26</v>
      </c>
      <c r="G149">
        <v>-322600</v>
      </c>
    </row>
    <row r="150" spans="1:7" x14ac:dyDescent="0.25">
      <c r="A150">
        <v>20140924</v>
      </c>
      <c r="B150" t="s">
        <v>177</v>
      </c>
      <c r="C150">
        <v>740917</v>
      </c>
      <c r="D150" t="s">
        <v>191</v>
      </c>
      <c r="E150">
        <v>-23000</v>
      </c>
      <c r="F150">
        <v>3.25</v>
      </c>
      <c r="G150">
        <v>74750</v>
      </c>
    </row>
    <row r="151" spans="1:7" x14ac:dyDescent="0.25">
      <c r="A151">
        <v>20140924</v>
      </c>
      <c r="B151" t="s">
        <v>195</v>
      </c>
      <c r="C151">
        <v>600019</v>
      </c>
      <c r="D151" t="s">
        <v>169</v>
      </c>
      <c r="E151">
        <v>20100</v>
      </c>
      <c r="F151">
        <v>0</v>
      </c>
      <c r="G151">
        <v>59692.5</v>
      </c>
    </row>
    <row r="152" spans="1:7" x14ac:dyDescent="0.25">
      <c r="A152">
        <v>20140924</v>
      </c>
      <c r="B152" t="s">
        <v>195</v>
      </c>
      <c r="C152">
        <v>600036</v>
      </c>
      <c r="D152" t="s">
        <v>151</v>
      </c>
      <c r="E152">
        <v>10000</v>
      </c>
      <c r="F152">
        <v>0</v>
      </c>
      <c r="G152">
        <v>72625</v>
      </c>
    </row>
    <row r="153" spans="1:7" x14ac:dyDescent="0.25">
      <c r="A153">
        <v>20140924</v>
      </c>
      <c r="B153" t="s">
        <v>195</v>
      </c>
      <c r="C153">
        <v>601989</v>
      </c>
      <c r="D153" t="s">
        <v>154</v>
      </c>
      <c r="E153">
        <v>20300</v>
      </c>
      <c r="F153">
        <v>0</v>
      </c>
      <c r="G153">
        <v>67717.3</v>
      </c>
    </row>
    <row r="154" spans="1:7" x14ac:dyDescent="0.25">
      <c r="A154">
        <v>20140924</v>
      </c>
      <c r="B154" t="s">
        <v>173</v>
      </c>
      <c r="C154">
        <v>300398</v>
      </c>
      <c r="D154" t="s">
        <v>196</v>
      </c>
      <c r="E154">
        <v>8000</v>
      </c>
      <c r="F154">
        <v>18.149999999999999</v>
      </c>
      <c r="G154">
        <v>-145200</v>
      </c>
    </row>
    <row r="155" spans="1:7" x14ac:dyDescent="0.25">
      <c r="A155">
        <v>20140924</v>
      </c>
      <c r="B155" t="s">
        <v>173</v>
      </c>
      <c r="C155">
        <v>300399</v>
      </c>
      <c r="D155" t="s">
        <v>197</v>
      </c>
      <c r="E155">
        <v>8000</v>
      </c>
      <c r="F155">
        <v>11.19</v>
      </c>
      <c r="G155">
        <v>-89520</v>
      </c>
    </row>
    <row r="156" spans="1:7" x14ac:dyDescent="0.25">
      <c r="A156">
        <v>20140924</v>
      </c>
      <c r="B156" t="s">
        <v>173</v>
      </c>
      <c r="C156">
        <v>300401</v>
      </c>
      <c r="D156" t="s">
        <v>198</v>
      </c>
      <c r="E156">
        <v>9000</v>
      </c>
      <c r="F156">
        <v>7.01</v>
      </c>
      <c r="G156">
        <v>-63090</v>
      </c>
    </row>
    <row r="157" spans="1:7" x14ac:dyDescent="0.25">
      <c r="A157">
        <v>20140924</v>
      </c>
      <c r="B157" t="s">
        <v>173</v>
      </c>
      <c r="C157">
        <v>2730</v>
      </c>
      <c r="D157" t="s">
        <v>199</v>
      </c>
      <c r="E157">
        <v>5500</v>
      </c>
      <c r="F157">
        <v>8.07</v>
      </c>
      <c r="G157">
        <v>-44385</v>
      </c>
    </row>
    <row r="158" spans="1:7" x14ac:dyDescent="0.25">
      <c r="A158">
        <v>20140924</v>
      </c>
      <c r="B158" t="s">
        <v>195</v>
      </c>
      <c r="C158">
        <v>651</v>
      </c>
      <c r="D158" t="s">
        <v>150</v>
      </c>
      <c r="E158">
        <v>10800</v>
      </c>
      <c r="F158">
        <v>0</v>
      </c>
      <c r="G158">
        <v>213459.20000000001</v>
      </c>
    </row>
    <row r="159" spans="1:7" x14ac:dyDescent="0.25">
      <c r="A159">
        <v>20140924</v>
      </c>
      <c r="B159" t="s">
        <v>195</v>
      </c>
      <c r="C159">
        <v>2</v>
      </c>
      <c r="D159" t="s">
        <v>170</v>
      </c>
      <c r="E159">
        <v>4100</v>
      </c>
      <c r="F159">
        <v>0</v>
      </c>
      <c r="G159">
        <v>26414.7</v>
      </c>
    </row>
    <row r="160" spans="1:7" x14ac:dyDescent="0.25">
      <c r="A160">
        <v>20140925</v>
      </c>
      <c r="B160" t="s">
        <v>146</v>
      </c>
      <c r="E160">
        <v>0</v>
      </c>
      <c r="F160">
        <v>0</v>
      </c>
      <c r="G160">
        <v>140000</v>
      </c>
    </row>
    <row r="161" spans="1:7" x14ac:dyDescent="0.25">
      <c r="A161">
        <v>20140925</v>
      </c>
      <c r="B161" t="s">
        <v>171</v>
      </c>
      <c r="E161">
        <v>0</v>
      </c>
      <c r="F161">
        <v>0</v>
      </c>
      <c r="G161">
        <v>-12550</v>
      </c>
    </row>
    <row r="162" spans="1:7" x14ac:dyDescent="0.25">
      <c r="A162">
        <v>20140925</v>
      </c>
      <c r="B162" t="s">
        <v>173</v>
      </c>
      <c r="C162">
        <v>734606</v>
      </c>
      <c r="D162" t="s">
        <v>191</v>
      </c>
      <c r="E162">
        <v>10000</v>
      </c>
      <c r="F162">
        <v>8.1999999999999993</v>
      </c>
      <c r="G162">
        <v>-82000</v>
      </c>
    </row>
    <row r="163" spans="1:7" x14ac:dyDescent="0.25">
      <c r="A163">
        <v>20140925</v>
      </c>
      <c r="B163" t="s">
        <v>176</v>
      </c>
      <c r="C163">
        <v>736018</v>
      </c>
      <c r="D163" t="s">
        <v>200</v>
      </c>
      <c r="E163">
        <v>10</v>
      </c>
      <c r="F163">
        <v>32.26</v>
      </c>
      <c r="G163">
        <v>0</v>
      </c>
    </row>
    <row r="164" spans="1:7" x14ac:dyDescent="0.25">
      <c r="A164">
        <v>20140925</v>
      </c>
      <c r="B164" t="s">
        <v>176</v>
      </c>
      <c r="C164">
        <v>736010</v>
      </c>
      <c r="D164" t="s">
        <v>201</v>
      </c>
      <c r="E164">
        <v>10</v>
      </c>
      <c r="F164">
        <v>11.7</v>
      </c>
      <c r="G164">
        <v>0</v>
      </c>
    </row>
    <row r="165" spans="1:7" x14ac:dyDescent="0.25">
      <c r="A165">
        <v>20140925</v>
      </c>
      <c r="B165" t="s">
        <v>176</v>
      </c>
      <c r="C165">
        <v>736456</v>
      </c>
      <c r="D165" t="s">
        <v>202</v>
      </c>
      <c r="E165">
        <v>15</v>
      </c>
      <c r="F165">
        <v>15.43</v>
      </c>
      <c r="G165">
        <v>0</v>
      </c>
    </row>
    <row r="166" spans="1:7" x14ac:dyDescent="0.25">
      <c r="A166">
        <v>20140925</v>
      </c>
      <c r="B166" t="s">
        <v>176</v>
      </c>
      <c r="C166">
        <v>736169</v>
      </c>
      <c r="D166" t="s">
        <v>203</v>
      </c>
      <c r="E166">
        <v>26</v>
      </c>
      <c r="F166">
        <v>1.68</v>
      </c>
      <c r="G166">
        <v>0</v>
      </c>
    </row>
    <row r="167" spans="1:7" x14ac:dyDescent="0.25">
      <c r="A167">
        <v>20140925</v>
      </c>
      <c r="B167" t="s">
        <v>204</v>
      </c>
      <c r="C167">
        <v>600019</v>
      </c>
      <c r="D167" t="s">
        <v>169</v>
      </c>
      <c r="E167">
        <v>-20100</v>
      </c>
      <c r="F167">
        <v>0</v>
      </c>
      <c r="G167">
        <v>-59810.28</v>
      </c>
    </row>
    <row r="168" spans="1:7" x14ac:dyDescent="0.25">
      <c r="A168">
        <v>20140925</v>
      </c>
      <c r="B168" t="s">
        <v>204</v>
      </c>
      <c r="C168">
        <v>600036</v>
      </c>
      <c r="D168" t="s">
        <v>151</v>
      </c>
      <c r="E168">
        <v>-10000</v>
      </c>
      <c r="F168">
        <v>0</v>
      </c>
      <c r="G168">
        <v>-72745.539999999994</v>
      </c>
    </row>
    <row r="169" spans="1:7" x14ac:dyDescent="0.25">
      <c r="A169">
        <v>20140925</v>
      </c>
      <c r="B169" t="s">
        <v>204</v>
      </c>
      <c r="C169">
        <v>601989</v>
      </c>
      <c r="D169" t="s">
        <v>154</v>
      </c>
      <c r="E169">
        <v>-20300</v>
      </c>
      <c r="F169">
        <v>0</v>
      </c>
      <c r="G169">
        <v>-67836.789999999994</v>
      </c>
    </row>
    <row r="170" spans="1:7" x14ac:dyDescent="0.25">
      <c r="A170">
        <v>20140925</v>
      </c>
      <c r="B170" t="s">
        <v>173</v>
      </c>
      <c r="C170">
        <v>300400</v>
      </c>
      <c r="D170" t="s">
        <v>205</v>
      </c>
      <c r="E170">
        <v>4000</v>
      </c>
      <c r="F170">
        <v>7.6</v>
      </c>
      <c r="G170">
        <v>-30400</v>
      </c>
    </row>
    <row r="171" spans="1:7" x14ac:dyDescent="0.25">
      <c r="A171">
        <v>20140925</v>
      </c>
      <c r="B171" t="s">
        <v>173</v>
      </c>
      <c r="C171">
        <v>300402</v>
      </c>
      <c r="D171" t="s">
        <v>206</v>
      </c>
      <c r="E171">
        <v>20000</v>
      </c>
      <c r="F171">
        <v>4.47</v>
      </c>
      <c r="G171">
        <v>-89400</v>
      </c>
    </row>
    <row r="172" spans="1:7" x14ac:dyDescent="0.25">
      <c r="A172">
        <v>20140925</v>
      </c>
      <c r="B172" t="s">
        <v>176</v>
      </c>
      <c r="C172">
        <v>300398</v>
      </c>
      <c r="D172" t="s">
        <v>196</v>
      </c>
      <c r="E172">
        <v>16</v>
      </c>
      <c r="F172">
        <v>18.149999999999999</v>
      </c>
      <c r="G172">
        <v>0</v>
      </c>
    </row>
    <row r="173" spans="1:7" x14ac:dyDescent="0.25">
      <c r="A173">
        <v>20140925</v>
      </c>
      <c r="B173" t="s">
        <v>176</v>
      </c>
      <c r="C173">
        <v>300399</v>
      </c>
      <c r="D173" t="s">
        <v>197</v>
      </c>
      <c r="E173">
        <v>16</v>
      </c>
      <c r="F173">
        <v>11.19</v>
      </c>
      <c r="G173">
        <v>0</v>
      </c>
    </row>
    <row r="174" spans="1:7" x14ac:dyDescent="0.25">
      <c r="A174">
        <v>20140925</v>
      </c>
      <c r="B174" t="s">
        <v>176</v>
      </c>
      <c r="C174">
        <v>300401</v>
      </c>
      <c r="D174" t="s">
        <v>198</v>
      </c>
      <c r="E174">
        <v>18</v>
      </c>
      <c r="F174">
        <v>7.01</v>
      </c>
      <c r="G174">
        <v>0</v>
      </c>
    </row>
    <row r="175" spans="1:7" x14ac:dyDescent="0.25">
      <c r="A175">
        <v>20140925</v>
      </c>
      <c r="B175" t="s">
        <v>176</v>
      </c>
      <c r="C175">
        <v>2730</v>
      </c>
      <c r="D175" t="s">
        <v>199</v>
      </c>
      <c r="E175">
        <v>11</v>
      </c>
      <c r="F175">
        <v>8.07</v>
      </c>
      <c r="G175">
        <v>0</v>
      </c>
    </row>
    <row r="176" spans="1:7" x14ac:dyDescent="0.25">
      <c r="A176">
        <v>20140925</v>
      </c>
      <c r="B176" t="s">
        <v>204</v>
      </c>
      <c r="C176">
        <v>651</v>
      </c>
      <c r="D176" t="s">
        <v>150</v>
      </c>
      <c r="E176">
        <v>-10800</v>
      </c>
      <c r="F176">
        <v>0</v>
      </c>
      <c r="G176">
        <v>0</v>
      </c>
    </row>
    <row r="177" spans="1:7" x14ac:dyDescent="0.25">
      <c r="A177">
        <v>20140925</v>
      </c>
      <c r="B177" t="s">
        <v>204</v>
      </c>
      <c r="C177">
        <v>651</v>
      </c>
      <c r="D177" t="s">
        <v>150</v>
      </c>
      <c r="E177">
        <v>0</v>
      </c>
      <c r="F177">
        <v>0</v>
      </c>
      <c r="G177">
        <v>-213615.64</v>
      </c>
    </row>
    <row r="178" spans="1:7" x14ac:dyDescent="0.25">
      <c r="A178">
        <v>20140925</v>
      </c>
      <c r="B178" t="s">
        <v>204</v>
      </c>
      <c r="C178">
        <v>2</v>
      </c>
      <c r="D178" t="s">
        <v>170</v>
      </c>
      <c r="E178">
        <v>0</v>
      </c>
      <c r="F178">
        <v>0</v>
      </c>
      <c r="G178">
        <v>-26524.47</v>
      </c>
    </row>
    <row r="179" spans="1:7" x14ac:dyDescent="0.25">
      <c r="A179">
        <v>20140925</v>
      </c>
      <c r="B179" t="s">
        <v>204</v>
      </c>
      <c r="C179">
        <v>2</v>
      </c>
      <c r="D179" t="s">
        <v>170</v>
      </c>
      <c r="E179">
        <v>-4100</v>
      </c>
      <c r="F179">
        <v>0</v>
      </c>
      <c r="G179">
        <v>0</v>
      </c>
    </row>
    <row r="180" spans="1:7" x14ac:dyDescent="0.25">
      <c r="A180">
        <v>20140926</v>
      </c>
      <c r="B180" t="s">
        <v>177</v>
      </c>
      <c r="C180">
        <v>734169</v>
      </c>
      <c r="D180" t="s">
        <v>191</v>
      </c>
      <c r="E180">
        <v>-26000</v>
      </c>
      <c r="F180">
        <v>1.68</v>
      </c>
      <c r="G180">
        <v>43680</v>
      </c>
    </row>
    <row r="181" spans="1:7" x14ac:dyDescent="0.25">
      <c r="A181">
        <v>20140926</v>
      </c>
      <c r="B181" t="s">
        <v>177</v>
      </c>
      <c r="C181">
        <v>734456</v>
      </c>
      <c r="D181" t="s">
        <v>191</v>
      </c>
      <c r="E181">
        <v>-15000</v>
      </c>
      <c r="F181">
        <v>15.43</v>
      </c>
      <c r="G181">
        <v>231450</v>
      </c>
    </row>
    <row r="182" spans="1:7" x14ac:dyDescent="0.25">
      <c r="A182">
        <v>20140926</v>
      </c>
      <c r="B182" t="s">
        <v>177</v>
      </c>
      <c r="C182">
        <v>734010</v>
      </c>
      <c r="D182" t="s">
        <v>191</v>
      </c>
      <c r="E182">
        <v>-10000</v>
      </c>
      <c r="F182">
        <v>11.7</v>
      </c>
      <c r="G182">
        <v>117000</v>
      </c>
    </row>
    <row r="183" spans="1:7" x14ac:dyDescent="0.25">
      <c r="A183">
        <v>20140926</v>
      </c>
      <c r="B183" t="s">
        <v>177</v>
      </c>
      <c r="C183">
        <v>734018</v>
      </c>
      <c r="D183" t="s">
        <v>191</v>
      </c>
      <c r="E183">
        <v>-10000</v>
      </c>
      <c r="F183">
        <v>32.26</v>
      </c>
      <c r="G183">
        <v>322600</v>
      </c>
    </row>
    <row r="184" spans="1:7" x14ac:dyDescent="0.25">
      <c r="A184">
        <v>20140926</v>
      </c>
      <c r="B184" t="s">
        <v>176</v>
      </c>
      <c r="C184">
        <v>736606</v>
      </c>
      <c r="D184" t="s">
        <v>207</v>
      </c>
      <c r="E184">
        <v>10</v>
      </c>
      <c r="F184">
        <v>8.1999999999999993</v>
      </c>
      <c r="G184">
        <v>0</v>
      </c>
    </row>
    <row r="185" spans="1:7" x14ac:dyDescent="0.25">
      <c r="A185">
        <v>20140926</v>
      </c>
      <c r="B185" t="s">
        <v>177</v>
      </c>
      <c r="C185">
        <v>300398</v>
      </c>
      <c r="D185" t="s">
        <v>196</v>
      </c>
      <c r="E185">
        <v>-8000</v>
      </c>
      <c r="F185">
        <v>18.149999999999999</v>
      </c>
      <c r="G185">
        <v>145200</v>
      </c>
    </row>
    <row r="186" spans="1:7" x14ac:dyDescent="0.25">
      <c r="A186">
        <v>20140926</v>
      </c>
      <c r="B186" t="s">
        <v>177</v>
      </c>
      <c r="C186">
        <v>300399</v>
      </c>
      <c r="D186" t="s">
        <v>197</v>
      </c>
      <c r="E186">
        <v>-8000</v>
      </c>
      <c r="F186">
        <v>11.19</v>
      </c>
      <c r="G186">
        <v>89520</v>
      </c>
    </row>
    <row r="187" spans="1:7" x14ac:dyDescent="0.25">
      <c r="A187">
        <v>20140926</v>
      </c>
      <c r="B187" t="s">
        <v>177</v>
      </c>
      <c r="C187">
        <v>300401</v>
      </c>
      <c r="D187" t="s">
        <v>198</v>
      </c>
      <c r="E187">
        <v>-9000</v>
      </c>
      <c r="F187">
        <v>7.01</v>
      </c>
      <c r="G187">
        <v>63090</v>
      </c>
    </row>
    <row r="188" spans="1:7" x14ac:dyDescent="0.25">
      <c r="A188">
        <v>20140926</v>
      </c>
      <c r="B188" t="s">
        <v>177</v>
      </c>
      <c r="C188">
        <v>2730</v>
      </c>
      <c r="D188" t="s">
        <v>199</v>
      </c>
      <c r="E188">
        <v>-5500</v>
      </c>
      <c r="F188">
        <v>8.07</v>
      </c>
      <c r="G188">
        <v>44385</v>
      </c>
    </row>
    <row r="189" spans="1:7" x14ac:dyDescent="0.25">
      <c r="A189">
        <v>20140926</v>
      </c>
      <c r="B189" t="s">
        <v>176</v>
      </c>
      <c r="C189">
        <v>300400</v>
      </c>
      <c r="D189" t="s">
        <v>205</v>
      </c>
      <c r="E189">
        <v>8</v>
      </c>
      <c r="F189">
        <v>7.6</v>
      </c>
      <c r="G189">
        <v>0</v>
      </c>
    </row>
    <row r="190" spans="1:7" x14ac:dyDescent="0.25">
      <c r="A190">
        <v>20140926</v>
      </c>
      <c r="B190" t="s">
        <v>176</v>
      </c>
      <c r="C190">
        <v>300402</v>
      </c>
      <c r="D190" t="s">
        <v>206</v>
      </c>
      <c r="E190">
        <v>40</v>
      </c>
      <c r="F190">
        <v>4.47</v>
      </c>
      <c r="G190">
        <v>0</v>
      </c>
    </row>
    <row r="191" spans="1:7" x14ac:dyDescent="0.25">
      <c r="A191">
        <v>20140929</v>
      </c>
      <c r="B191" t="s">
        <v>145</v>
      </c>
      <c r="E191">
        <v>0</v>
      </c>
      <c r="F191">
        <v>0</v>
      </c>
      <c r="G191">
        <v>-1000000</v>
      </c>
    </row>
    <row r="192" spans="1:7" x14ac:dyDescent="0.25">
      <c r="A192">
        <v>20140929</v>
      </c>
      <c r="B192" t="s">
        <v>171</v>
      </c>
      <c r="E192">
        <v>0</v>
      </c>
      <c r="F192">
        <v>0</v>
      </c>
      <c r="G192">
        <v>-314274</v>
      </c>
    </row>
    <row r="193" spans="1:8" x14ac:dyDescent="0.25">
      <c r="A193">
        <v>20140929</v>
      </c>
      <c r="B193" t="s">
        <v>153</v>
      </c>
      <c r="C193">
        <v>300397</v>
      </c>
      <c r="D193" t="s">
        <v>182</v>
      </c>
      <c r="E193">
        <v>-500</v>
      </c>
      <c r="F193">
        <v>113.42</v>
      </c>
      <c r="G193">
        <v>56612.73</v>
      </c>
    </row>
    <row r="194" spans="1:8" x14ac:dyDescent="0.25">
      <c r="A194">
        <v>20140929</v>
      </c>
      <c r="B194" t="s">
        <v>153</v>
      </c>
      <c r="C194">
        <v>651</v>
      </c>
      <c r="D194" t="s">
        <v>150</v>
      </c>
      <c r="E194">
        <v>-7200</v>
      </c>
      <c r="F194">
        <v>27.91</v>
      </c>
      <c r="G194">
        <v>200607.35</v>
      </c>
    </row>
    <row r="195" spans="1:8" x14ac:dyDescent="0.25">
      <c r="A195">
        <v>20140929</v>
      </c>
      <c r="B195" t="s">
        <v>177</v>
      </c>
      <c r="C195">
        <v>734606</v>
      </c>
      <c r="D195" t="s">
        <v>191</v>
      </c>
      <c r="E195">
        <v>-10000</v>
      </c>
      <c r="F195">
        <v>8.1999999999999993</v>
      </c>
      <c r="G195">
        <v>82000</v>
      </c>
    </row>
    <row r="196" spans="1:8" x14ac:dyDescent="0.25">
      <c r="A196">
        <v>20140929</v>
      </c>
      <c r="B196" t="s">
        <v>177</v>
      </c>
      <c r="C196">
        <v>300400</v>
      </c>
      <c r="D196" t="s">
        <v>205</v>
      </c>
      <c r="E196">
        <v>-4000</v>
      </c>
      <c r="F196">
        <v>7.6</v>
      </c>
      <c r="G196">
        <v>30400</v>
      </c>
    </row>
    <row r="197" spans="1:8" x14ac:dyDescent="0.25">
      <c r="A197">
        <v>20140929</v>
      </c>
      <c r="B197" t="s">
        <v>177</v>
      </c>
      <c r="C197">
        <v>300402</v>
      </c>
      <c r="D197" t="s">
        <v>206</v>
      </c>
      <c r="E197">
        <v>-20000</v>
      </c>
      <c r="F197">
        <v>4.47</v>
      </c>
      <c r="G197">
        <v>89400</v>
      </c>
    </row>
    <row r="198" spans="1:8" x14ac:dyDescent="0.25">
      <c r="A198">
        <v>20140930</v>
      </c>
      <c r="B198" t="s">
        <v>208</v>
      </c>
      <c r="E198">
        <v>0</v>
      </c>
      <c r="F198">
        <v>0</v>
      </c>
      <c r="G198">
        <v>-540</v>
      </c>
      <c r="H198" s="18"/>
    </row>
    <row r="199" spans="1:8" x14ac:dyDescent="0.25">
      <c r="A199">
        <v>20140930</v>
      </c>
      <c r="B199" t="s">
        <v>171</v>
      </c>
      <c r="E199">
        <v>0</v>
      </c>
      <c r="F199">
        <v>0</v>
      </c>
      <c r="G199">
        <v>-201849</v>
      </c>
    </row>
    <row r="200" spans="1:8" x14ac:dyDescent="0.25">
      <c r="A200">
        <v>20141013</v>
      </c>
      <c r="B200" t="s">
        <v>172</v>
      </c>
      <c r="E200">
        <v>0</v>
      </c>
      <c r="F200">
        <v>0</v>
      </c>
      <c r="G200">
        <v>660.86</v>
      </c>
    </row>
    <row r="201" spans="1:8" x14ac:dyDescent="0.25">
      <c r="A201">
        <v>20141023</v>
      </c>
      <c r="B201" t="s">
        <v>209</v>
      </c>
      <c r="C201">
        <v>519606</v>
      </c>
      <c r="D201" t="s">
        <v>210</v>
      </c>
      <c r="E201">
        <v>108564</v>
      </c>
      <c r="F201">
        <v>0</v>
      </c>
      <c r="G201">
        <v>0</v>
      </c>
    </row>
    <row r="202" spans="1:8" x14ac:dyDescent="0.25">
      <c r="A202">
        <v>20141024</v>
      </c>
      <c r="B202" t="s">
        <v>146</v>
      </c>
      <c r="E202">
        <v>0</v>
      </c>
      <c r="F202">
        <v>0</v>
      </c>
      <c r="G202">
        <v>150000</v>
      </c>
    </row>
    <row r="203" spans="1:8" x14ac:dyDescent="0.25">
      <c r="A203">
        <v>20141024</v>
      </c>
      <c r="B203" t="s">
        <v>172</v>
      </c>
      <c r="E203">
        <v>0</v>
      </c>
      <c r="F203">
        <v>0</v>
      </c>
      <c r="G203">
        <v>527081</v>
      </c>
    </row>
    <row r="204" spans="1:8" x14ac:dyDescent="0.25">
      <c r="A204">
        <v>20141024</v>
      </c>
      <c r="B204" t="s">
        <v>153</v>
      </c>
      <c r="C204">
        <v>150018</v>
      </c>
      <c r="D204" t="s">
        <v>189</v>
      </c>
      <c r="E204">
        <v>-250000</v>
      </c>
      <c r="F204">
        <v>0.94899999999999995</v>
      </c>
      <c r="G204">
        <v>237084.52</v>
      </c>
    </row>
    <row r="205" spans="1:8" x14ac:dyDescent="0.25">
      <c r="A205">
        <v>20141024</v>
      </c>
      <c r="B205" t="s">
        <v>173</v>
      </c>
      <c r="C205">
        <v>734688</v>
      </c>
      <c r="D205" t="s">
        <v>191</v>
      </c>
      <c r="E205">
        <v>14000</v>
      </c>
      <c r="F205">
        <v>6.45</v>
      </c>
      <c r="G205">
        <v>-90300</v>
      </c>
    </row>
    <row r="206" spans="1:8" x14ac:dyDescent="0.25">
      <c r="A206">
        <v>20141024</v>
      </c>
      <c r="B206" t="s">
        <v>173</v>
      </c>
      <c r="C206">
        <v>734988</v>
      </c>
      <c r="D206" t="s">
        <v>191</v>
      </c>
      <c r="E206">
        <v>8000</v>
      </c>
      <c r="F206">
        <v>14.88</v>
      </c>
      <c r="G206">
        <v>-119040</v>
      </c>
    </row>
    <row r="207" spans="1:8" x14ac:dyDescent="0.25">
      <c r="A207">
        <v>20141024</v>
      </c>
      <c r="B207" t="s">
        <v>173</v>
      </c>
      <c r="C207">
        <v>734019</v>
      </c>
      <c r="D207" t="s">
        <v>191</v>
      </c>
      <c r="E207">
        <v>30000</v>
      </c>
      <c r="F207">
        <v>5.29</v>
      </c>
      <c r="G207">
        <v>-158700</v>
      </c>
    </row>
    <row r="208" spans="1:8" x14ac:dyDescent="0.25">
      <c r="A208">
        <v>20141024</v>
      </c>
      <c r="B208" t="s">
        <v>173</v>
      </c>
      <c r="C208">
        <v>790015</v>
      </c>
      <c r="D208" t="s">
        <v>191</v>
      </c>
      <c r="E208">
        <v>32000</v>
      </c>
      <c r="F208">
        <v>6.15</v>
      </c>
      <c r="G208">
        <v>-196800</v>
      </c>
    </row>
    <row r="209" spans="1:7" x14ac:dyDescent="0.25">
      <c r="A209">
        <v>20141024</v>
      </c>
      <c r="B209" t="s">
        <v>173</v>
      </c>
      <c r="C209">
        <v>2731</v>
      </c>
      <c r="D209" t="s">
        <v>211</v>
      </c>
      <c r="E209">
        <v>14500</v>
      </c>
      <c r="F209">
        <v>11.92</v>
      </c>
      <c r="G209">
        <v>-172840</v>
      </c>
    </row>
    <row r="210" spans="1:7" x14ac:dyDescent="0.25">
      <c r="A210">
        <v>20141024</v>
      </c>
      <c r="B210" t="s">
        <v>173</v>
      </c>
      <c r="C210">
        <v>2724</v>
      </c>
      <c r="D210" t="s">
        <v>212</v>
      </c>
      <c r="E210">
        <v>20000</v>
      </c>
      <c r="F210">
        <v>8.8800000000000008</v>
      </c>
      <c r="G210">
        <v>-177600</v>
      </c>
    </row>
    <row r="211" spans="1:7" x14ac:dyDescent="0.25">
      <c r="A211">
        <v>20141027</v>
      </c>
      <c r="B211" t="s">
        <v>146</v>
      </c>
      <c r="E211">
        <v>0</v>
      </c>
      <c r="F211">
        <v>0</v>
      </c>
      <c r="G211">
        <v>150000</v>
      </c>
    </row>
    <row r="212" spans="1:7" x14ac:dyDescent="0.25">
      <c r="A212">
        <v>20141027</v>
      </c>
      <c r="B212" t="s">
        <v>171</v>
      </c>
      <c r="E212">
        <v>0</v>
      </c>
      <c r="F212">
        <v>0</v>
      </c>
      <c r="G212">
        <v>-4306</v>
      </c>
    </row>
    <row r="213" spans="1:7" x14ac:dyDescent="0.25">
      <c r="A213">
        <v>20141027</v>
      </c>
      <c r="B213" t="s">
        <v>173</v>
      </c>
      <c r="C213">
        <v>734011</v>
      </c>
      <c r="D213" t="s">
        <v>191</v>
      </c>
      <c r="E213">
        <v>18000</v>
      </c>
      <c r="F213">
        <v>4.26</v>
      </c>
      <c r="G213">
        <v>-76680</v>
      </c>
    </row>
    <row r="214" spans="1:7" x14ac:dyDescent="0.25">
      <c r="A214">
        <v>20141027</v>
      </c>
      <c r="B214" t="s">
        <v>173</v>
      </c>
      <c r="C214">
        <v>734088</v>
      </c>
      <c r="D214" t="s">
        <v>191</v>
      </c>
      <c r="E214">
        <v>8000</v>
      </c>
      <c r="F214">
        <v>8.57</v>
      </c>
      <c r="G214">
        <v>-68560</v>
      </c>
    </row>
    <row r="215" spans="1:7" x14ac:dyDescent="0.25">
      <c r="A215">
        <v>20141027</v>
      </c>
      <c r="B215" t="s">
        <v>176</v>
      </c>
      <c r="C215">
        <v>736988</v>
      </c>
      <c r="D215" t="s">
        <v>213</v>
      </c>
      <c r="E215">
        <v>8</v>
      </c>
      <c r="F215">
        <v>14.88</v>
      </c>
      <c r="G215">
        <v>0</v>
      </c>
    </row>
    <row r="216" spans="1:7" x14ac:dyDescent="0.25">
      <c r="A216">
        <v>20141027</v>
      </c>
      <c r="B216" t="s">
        <v>176</v>
      </c>
      <c r="C216">
        <v>791015</v>
      </c>
      <c r="D216" t="s">
        <v>214</v>
      </c>
      <c r="E216">
        <v>32</v>
      </c>
      <c r="F216">
        <v>6.15</v>
      </c>
      <c r="G216">
        <v>0</v>
      </c>
    </row>
    <row r="217" spans="1:7" x14ac:dyDescent="0.25">
      <c r="A217">
        <v>20141027</v>
      </c>
      <c r="B217" t="s">
        <v>176</v>
      </c>
      <c r="C217">
        <v>736019</v>
      </c>
      <c r="D217" t="s">
        <v>215</v>
      </c>
      <c r="E217">
        <v>30</v>
      </c>
      <c r="F217">
        <v>5.29</v>
      </c>
      <c r="G217">
        <v>0</v>
      </c>
    </row>
    <row r="218" spans="1:7" x14ac:dyDescent="0.25">
      <c r="A218">
        <v>20141027</v>
      </c>
      <c r="B218" t="s">
        <v>176</v>
      </c>
      <c r="C218">
        <v>736688</v>
      </c>
      <c r="D218" t="s">
        <v>216</v>
      </c>
      <c r="E218">
        <v>14</v>
      </c>
      <c r="F218">
        <v>6.45</v>
      </c>
      <c r="G218">
        <v>0</v>
      </c>
    </row>
    <row r="219" spans="1:7" x14ac:dyDescent="0.25">
      <c r="A219">
        <v>20141027</v>
      </c>
      <c r="B219" t="s">
        <v>176</v>
      </c>
      <c r="C219">
        <v>2731</v>
      </c>
      <c r="D219" t="s">
        <v>211</v>
      </c>
      <c r="E219">
        <v>29</v>
      </c>
      <c r="F219">
        <v>11.92</v>
      </c>
      <c r="G219">
        <v>0</v>
      </c>
    </row>
    <row r="220" spans="1:7" x14ac:dyDescent="0.25">
      <c r="A220">
        <v>20141027</v>
      </c>
      <c r="B220" t="s">
        <v>176</v>
      </c>
      <c r="C220">
        <v>2724</v>
      </c>
      <c r="D220" t="s">
        <v>212</v>
      </c>
      <c r="E220">
        <v>40</v>
      </c>
      <c r="F220">
        <v>8.8800000000000008</v>
      </c>
      <c r="G220">
        <v>0</v>
      </c>
    </row>
    <row r="221" spans="1:7" x14ac:dyDescent="0.25">
      <c r="A221">
        <v>20141028</v>
      </c>
      <c r="B221" t="s">
        <v>177</v>
      </c>
      <c r="C221">
        <v>734688</v>
      </c>
      <c r="D221" t="s">
        <v>191</v>
      </c>
      <c r="E221">
        <v>-14000</v>
      </c>
      <c r="F221">
        <v>6.45</v>
      </c>
      <c r="G221">
        <v>90300</v>
      </c>
    </row>
    <row r="222" spans="1:7" x14ac:dyDescent="0.25">
      <c r="A222">
        <v>20141028</v>
      </c>
      <c r="B222" t="s">
        <v>177</v>
      </c>
      <c r="C222">
        <v>734988</v>
      </c>
      <c r="D222" t="s">
        <v>191</v>
      </c>
      <c r="E222">
        <v>-8000</v>
      </c>
      <c r="F222">
        <v>14.88</v>
      </c>
      <c r="G222">
        <v>119040</v>
      </c>
    </row>
    <row r="223" spans="1:7" x14ac:dyDescent="0.25">
      <c r="A223">
        <v>20141028</v>
      </c>
      <c r="B223" t="s">
        <v>177</v>
      </c>
      <c r="C223">
        <v>734019</v>
      </c>
      <c r="D223" t="s">
        <v>191</v>
      </c>
      <c r="E223">
        <v>-30000</v>
      </c>
      <c r="F223">
        <v>5.29</v>
      </c>
      <c r="G223">
        <v>158700</v>
      </c>
    </row>
    <row r="224" spans="1:7" x14ac:dyDescent="0.25">
      <c r="A224">
        <v>20141028</v>
      </c>
      <c r="B224" t="s">
        <v>177</v>
      </c>
      <c r="C224">
        <v>790015</v>
      </c>
      <c r="D224" t="s">
        <v>191</v>
      </c>
      <c r="E224">
        <v>-32000</v>
      </c>
      <c r="F224">
        <v>6.15</v>
      </c>
      <c r="G224">
        <v>196800</v>
      </c>
    </row>
    <row r="225" spans="1:7" x14ac:dyDescent="0.25">
      <c r="A225">
        <v>20141028</v>
      </c>
      <c r="B225" t="s">
        <v>176</v>
      </c>
      <c r="C225">
        <v>736088</v>
      </c>
      <c r="D225" t="s">
        <v>217</v>
      </c>
      <c r="E225">
        <v>8</v>
      </c>
      <c r="F225">
        <v>8.57</v>
      </c>
      <c r="G225">
        <v>0</v>
      </c>
    </row>
    <row r="226" spans="1:7" x14ac:dyDescent="0.25">
      <c r="A226">
        <v>20141028</v>
      </c>
      <c r="B226" t="s">
        <v>176</v>
      </c>
      <c r="C226">
        <v>736011</v>
      </c>
      <c r="D226" t="s">
        <v>218</v>
      </c>
      <c r="E226">
        <v>18</v>
      </c>
      <c r="F226">
        <v>4.26</v>
      </c>
      <c r="G226">
        <v>0</v>
      </c>
    </row>
    <row r="227" spans="1:7" x14ac:dyDescent="0.25">
      <c r="A227">
        <v>20141028</v>
      </c>
      <c r="B227" t="s">
        <v>177</v>
      </c>
      <c r="C227">
        <v>2731</v>
      </c>
      <c r="D227" t="s">
        <v>211</v>
      </c>
      <c r="E227">
        <v>-14500</v>
      </c>
      <c r="F227">
        <v>11.92</v>
      </c>
      <c r="G227">
        <v>172840</v>
      </c>
    </row>
    <row r="228" spans="1:7" x14ac:dyDescent="0.25">
      <c r="A228">
        <v>20141028</v>
      </c>
      <c r="B228" t="s">
        <v>177</v>
      </c>
      <c r="C228">
        <v>2724</v>
      </c>
      <c r="D228" t="s">
        <v>212</v>
      </c>
      <c r="E228">
        <v>-20000</v>
      </c>
      <c r="F228">
        <v>8.8800000000000008</v>
      </c>
      <c r="G228">
        <v>177600</v>
      </c>
    </row>
    <row r="229" spans="1:7" x14ac:dyDescent="0.25">
      <c r="A229">
        <v>20141028</v>
      </c>
      <c r="B229" t="s">
        <v>186</v>
      </c>
      <c r="C229">
        <v>2731</v>
      </c>
      <c r="D229" t="s">
        <v>211</v>
      </c>
      <c r="E229">
        <v>500</v>
      </c>
      <c r="F229">
        <v>11.92</v>
      </c>
      <c r="G229">
        <v>-5960</v>
      </c>
    </row>
    <row r="230" spans="1:7" x14ac:dyDescent="0.25">
      <c r="A230">
        <v>20141028</v>
      </c>
      <c r="B230" t="s">
        <v>186</v>
      </c>
      <c r="C230">
        <v>2731</v>
      </c>
      <c r="D230" t="s">
        <v>211</v>
      </c>
      <c r="E230">
        <v>500</v>
      </c>
      <c r="F230">
        <v>11.92</v>
      </c>
      <c r="G230">
        <v>-5960</v>
      </c>
    </row>
    <row r="231" spans="1:7" x14ac:dyDescent="0.25">
      <c r="A231">
        <v>20141029</v>
      </c>
      <c r="B231" t="s">
        <v>145</v>
      </c>
      <c r="E231">
        <v>0</v>
      </c>
      <c r="F231">
        <v>0</v>
      </c>
      <c r="G231">
        <v>-700000</v>
      </c>
    </row>
    <row r="232" spans="1:7" x14ac:dyDescent="0.25">
      <c r="A232">
        <v>20141029</v>
      </c>
      <c r="B232" t="s">
        <v>171</v>
      </c>
      <c r="E232">
        <v>0</v>
      </c>
      <c r="F232">
        <v>0</v>
      </c>
      <c r="G232">
        <v>-203360</v>
      </c>
    </row>
    <row r="233" spans="1:7" x14ac:dyDescent="0.25">
      <c r="A233">
        <v>20141029</v>
      </c>
      <c r="B233" t="s">
        <v>177</v>
      </c>
      <c r="C233">
        <v>734011</v>
      </c>
      <c r="D233" t="s">
        <v>191</v>
      </c>
      <c r="E233">
        <v>-18000</v>
      </c>
      <c r="F233">
        <v>4.26</v>
      </c>
      <c r="G233">
        <v>76680</v>
      </c>
    </row>
    <row r="234" spans="1:7" x14ac:dyDescent="0.25">
      <c r="A234">
        <v>20141029</v>
      </c>
      <c r="B234" t="s">
        <v>177</v>
      </c>
      <c r="C234">
        <v>734088</v>
      </c>
      <c r="D234" t="s">
        <v>191</v>
      </c>
      <c r="E234">
        <v>-8000</v>
      </c>
      <c r="F234">
        <v>8.57</v>
      </c>
      <c r="G234">
        <v>68560</v>
      </c>
    </row>
    <row r="235" spans="1:7" x14ac:dyDescent="0.25">
      <c r="A235">
        <v>20141029</v>
      </c>
      <c r="B235" t="s">
        <v>187</v>
      </c>
      <c r="C235">
        <v>2731</v>
      </c>
      <c r="D235" t="s">
        <v>211</v>
      </c>
      <c r="E235">
        <v>1000</v>
      </c>
      <c r="F235">
        <v>11.92</v>
      </c>
      <c r="G235">
        <v>0</v>
      </c>
    </row>
    <row r="236" spans="1:7" x14ac:dyDescent="0.25">
      <c r="A236">
        <v>20141030</v>
      </c>
      <c r="B236" t="s">
        <v>171</v>
      </c>
      <c r="E236">
        <v>0</v>
      </c>
      <c r="F236">
        <v>0</v>
      </c>
      <c r="G236">
        <v>-145240</v>
      </c>
    </row>
    <row r="237" spans="1:7" x14ac:dyDescent="0.25">
      <c r="A237">
        <v>20141031</v>
      </c>
      <c r="B237" t="s">
        <v>172</v>
      </c>
      <c r="E237">
        <v>0</v>
      </c>
      <c r="F237">
        <v>0</v>
      </c>
      <c r="G237">
        <v>127255</v>
      </c>
    </row>
    <row r="238" spans="1:7" x14ac:dyDescent="0.25">
      <c r="A238">
        <v>20141031</v>
      </c>
      <c r="B238" t="s">
        <v>147</v>
      </c>
      <c r="C238">
        <v>110018</v>
      </c>
      <c r="D238" t="s">
        <v>178</v>
      </c>
      <c r="E238">
        <v>1000</v>
      </c>
      <c r="F238">
        <v>128.22999999999999</v>
      </c>
      <c r="G238">
        <v>-128255.65</v>
      </c>
    </row>
    <row r="239" spans="1:7" x14ac:dyDescent="0.25">
      <c r="A239">
        <v>20141031</v>
      </c>
      <c r="B239" t="s">
        <v>219</v>
      </c>
      <c r="C239">
        <v>110018</v>
      </c>
      <c r="D239" t="s">
        <v>178</v>
      </c>
      <c r="E239">
        <v>-1000</v>
      </c>
      <c r="F239">
        <v>130.07</v>
      </c>
      <c r="G239">
        <v>0</v>
      </c>
    </row>
    <row r="240" spans="1:7" x14ac:dyDescent="0.25">
      <c r="A240">
        <v>20141031</v>
      </c>
      <c r="B240" t="s">
        <v>219</v>
      </c>
      <c r="C240">
        <v>600795</v>
      </c>
      <c r="D240" t="s">
        <v>220</v>
      </c>
      <c r="E240">
        <v>44052</v>
      </c>
      <c r="F240">
        <v>2.97</v>
      </c>
      <c r="G240">
        <v>0</v>
      </c>
    </row>
    <row r="241" spans="1:7" x14ac:dyDescent="0.25">
      <c r="A241">
        <v>20141031</v>
      </c>
      <c r="B241" t="s">
        <v>219</v>
      </c>
      <c r="C241">
        <v>190018</v>
      </c>
      <c r="D241" t="s">
        <v>221</v>
      </c>
      <c r="E241">
        <v>-1000</v>
      </c>
      <c r="F241">
        <v>100</v>
      </c>
      <c r="G241">
        <v>1.96</v>
      </c>
    </row>
    <row r="242" spans="1:7" x14ac:dyDescent="0.25">
      <c r="A242">
        <v>20141103</v>
      </c>
      <c r="B242" t="s">
        <v>171</v>
      </c>
      <c r="E242">
        <v>0</v>
      </c>
      <c r="F242">
        <v>0</v>
      </c>
      <c r="G242">
        <v>-132804</v>
      </c>
    </row>
    <row r="243" spans="1:7" x14ac:dyDescent="0.25">
      <c r="A243">
        <v>20141103</v>
      </c>
      <c r="B243" t="s">
        <v>153</v>
      </c>
      <c r="C243">
        <v>600795</v>
      </c>
      <c r="D243" t="s">
        <v>220</v>
      </c>
      <c r="E243">
        <v>-44052</v>
      </c>
      <c r="F243">
        <v>3.05</v>
      </c>
      <c r="G243">
        <v>134113.14000000001</v>
      </c>
    </row>
    <row r="244" spans="1:7" x14ac:dyDescent="0.25">
      <c r="A244">
        <v>20141106</v>
      </c>
      <c r="B244" t="s">
        <v>172</v>
      </c>
      <c r="E244">
        <v>0</v>
      </c>
      <c r="F244">
        <v>0</v>
      </c>
      <c r="G244">
        <v>363088</v>
      </c>
    </row>
    <row r="245" spans="1:7" x14ac:dyDescent="0.25">
      <c r="A245">
        <v>20141106</v>
      </c>
      <c r="B245" t="s">
        <v>147</v>
      </c>
      <c r="C245">
        <v>510330</v>
      </c>
      <c r="D245" t="s">
        <v>222</v>
      </c>
      <c r="E245">
        <v>500</v>
      </c>
      <c r="F245">
        <v>2.5459999999999998</v>
      </c>
      <c r="G245">
        <v>-1277.9000000000001</v>
      </c>
    </row>
    <row r="246" spans="1:7" x14ac:dyDescent="0.25">
      <c r="A246">
        <v>20141106</v>
      </c>
      <c r="B246" t="s">
        <v>146</v>
      </c>
      <c r="E246">
        <v>0</v>
      </c>
      <c r="F246">
        <v>0</v>
      </c>
      <c r="G246">
        <v>5000</v>
      </c>
    </row>
    <row r="247" spans="1:7" x14ac:dyDescent="0.25">
      <c r="A247">
        <v>20141106</v>
      </c>
      <c r="B247" t="s">
        <v>223</v>
      </c>
      <c r="C247">
        <v>540</v>
      </c>
      <c r="D247" t="s">
        <v>224</v>
      </c>
      <c r="E247">
        <v>4800</v>
      </c>
      <c r="F247">
        <v>1</v>
      </c>
      <c r="G247">
        <v>-4800</v>
      </c>
    </row>
    <row r="248" spans="1:7" x14ac:dyDescent="0.25">
      <c r="A248">
        <v>20141107</v>
      </c>
      <c r="B248" t="s">
        <v>145</v>
      </c>
      <c r="E248">
        <v>0</v>
      </c>
      <c r="F248">
        <v>0</v>
      </c>
      <c r="G248">
        <v>-360000</v>
      </c>
    </row>
    <row r="249" spans="1:7" x14ac:dyDescent="0.25">
      <c r="A249">
        <v>20141107</v>
      </c>
      <c r="B249" t="s">
        <v>171</v>
      </c>
      <c r="E249">
        <v>0</v>
      </c>
      <c r="F249">
        <v>0</v>
      </c>
      <c r="G249">
        <v>-2121</v>
      </c>
    </row>
    <row r="250" spans="1:7" x14ac:dyDescent="0.25">
      <c r="A250">
        <v>20141107</v>
      </c>
      <c r="B250" t="s">
        <v>225</v>
      </c>
      <c r="C250">
        <v>519606</v>
      </c>
      <c r="D250" t="s">
        <v>210</v>
      </c>
      <c r="E250">
        <v>-108564</v>
      </c>
      <c r="F250">
        <v>1.018</v>
      </c>
      <c r="G250">
        <v>0</v>
      </c>
    </row>
    <row r="251" spans="1:7" x14ac:dyDescent="0.25">
      <c r="A251">
        <v>20141107</v>
      </c>
      <c r="B251" t="s">
        <v>226</v>
      </c>
      <c r="C251">
        <v>540</v>
      </c>
      <c r="D251" t="s">
        <v>224</v>
      </c>
      <c r="E251">
        <v>1.86</v>
      </c>
      <c r="F251">
        <v>1</v>
      </c>
      <c r="G251">
        <v>0</v>
      </c>
    </row>
    <row r="252" spans="1:7" x14ac:dyDescent="0.25">
      <c r="A252">
        <v>20141107</v>
      </c>
      <c r="B252" t="s">
        <v>146</v>
      </c>
      <c r="E252">
        <v>0</v>
      </c>
      <c r="F252">
        <v>0</v>
      </c>
      <c r="G252">
        <v>5500</v>
      </c>
    </row>
    <row r="253" spans="1:7" x14ac:dyDescent="0.25">
      <c r="A253">
        <v>20141107</v>
      </c>
      <c r="B253" t="s">
        <v>147</v>
      </c>
      <c r="C253">
        <v>510330</v>
      </c>
      <c r="D253" t="s">
        <v>222</v>
      </c>
      <c r="E253">
        <v>2000</v>
      </c>
      <c r="F253">
        <v>2.569</v>
      </c>
      <c r="G253">
        <v>-5143</v>
      </c>
    </row>
    <row r="254" spans="1:7" x14ac:dyDescent="0.25">
      <c r="A254">
        <v>20141107</v>
      </c>
      <c r="B254" t="s">
        <v>223</v>
      </c>
      <c r="C254">
        <v>540</v>
      </c>
      <c r="D254" t="s">
        <v>224</v>
      </c>
      <c r="E254">
        <v>356.8</v>
      </c>
      <c r="F254">
        <v>1</v>
      </c>
      <c r="G254">
        <v>-356.8</v>
      </c>
    </row>
    <row r="255" spans="1:7" x14ac:dyDescent="0.25">
      <c r="A255">
        <v>20141110</v>
      </c>
      <c r="B255" t="s">
        <v>227</v>
      </c>
      <c r="C255">
        <v>519606</v>
      </c>
      <c r="D255" t="s">
        <v>210</v>
      </c>
      <c r="E255">
        <v>0</v>
      </c>
      <c r="F255">
        <v>1.018</v>
      </c>
      <c r="G255">
        <v>110518.15</v>
      </c>
    </row>
    <row r="256" spans="1:7" x14ac:dyDescent="0.25">
      <c r="A256">
        <v>20141110</v>
      </c>
      <c r="B256" t="s">
        <v>226</v>
      </c>
      <c r="C256">
        <v>540</v>
      </c>
      <c r="D256" t="s">
        <v>224</v>
      </c>
      <c r="E256">
        <v>0.82</v>
      </c>
      <c r="F256">
        <v>1</v>
      </c>
      <c r="G256">
        <v>0</v>
      </c>
    </row>
    <row r="257" spans="1:7" x14ac:dyDescent="0.25">
      <c r="A257">
        <v>20141110</v>
      </c>
      <c r="B257" t="s">
        <v>146</v>
      </c>
      <c r="E257">
        <v>0</v>
      </c>
      <c r="F257">
        <v>0</v>
      </c>
      <c r="G257">
        <v>365000</v>
      </c>
    </row>
    <row r="258" spans="1:7" x14ac:dyDescent="0.25">
      <c r="A258">
        <v>20141110</v>
      </c>
      <c r="B258" t="s">
        <v>226</v>
      </c>
      <c r="C258">
        <v>540</v>
      </c>
      <c r="D258" t="s">
        <v>224</v>
      </c>
      <c r="E258">
        <v>0.06</v>
      </c>
      <c r="F258">
        <v>1</v>
      </c>
      <c r="G258">
        <v>0</v>
      </c>
    </row>
    <row r="259" spans="1:7" x14ac:dyDescent="0.25">
      <c r="A259">
        <v>20141110</v>
      </c>
      <c r="B259" t="s">
        <v>223</v>
      </c>
      <c r="C259">
        <v>540</v>
      </c>
      <c r="D259" t="s">
        <v>224</v>
      </c>
      <c r="E259">
        <v>365000.2</v>
      </c>
      <c r="F259">
        <v>1</v>
      </c>
      <c r="G259">
        <v>-365000.2</v>
      </c>
    </row>
    <row r="260" spans="1:7" x14ac:dyDescent="0.25">
      <c r="A260">
        <v>20141111</v>
      </c>
      <c r="B260" t="s">
        <v>172</v>
      </c>
      <c r="E260">
        <v>0</v>
      </c>
      <c r="F260">
        <v>0</v>
      </c>
      <c r="G260">
        <v>2121</v>
      </c>
    </row>
    <row r="261" spans="1:7" x14ac:dyDescent="0.25">
      <c r="A261">
        <v>20141111</v>
      </c>
      <c r="B261" t="s">
        <v>172</v>
      </c>
      <c r="E261">
        <v>0</v>
      </c>
      <c r="F261">
        <v>0</v>
      </c>
      <c r="G261">
        <v>781.99</v>
      </c>
    </row>
    <row r="262" spans="1:7" x14ac:dyDescent="0.25">
      <c r="A262">
        <v>20141111</v>
      </c>
      <c r="B262" t="s">
        <v>147</v>
      </c>
      <c r="C262">
        <v>113001</v>
      </c>
      <c r="D262" t="s">
        <v>179</v>
      </c>
      <c r="E262">
        <v>900</v>
      </c>
      <c r="F262">
        <v>119.67</v>
      </c>
      <c r="G262">
        <v>-107724.54</v>
      </c>
    </row>
    <row r="263" spans="1:7" x14ac:dyDescent="0.25">
      <c r="A263">
        <v>20141111</v>
      </c>
      <c r="B263" t="s">
        <v>147</v>
      </c>
      <c r="C263">
        <v>510330</v>
      </c>
      <c r="D263" t="s">
        <v>222</v>
      </c>
      <c r="E263">
        <v>2200</v>
      </c>
      <c r="F263">
        <v>2.6240000000000001</v>
      </c>
      <c r="G263">
        <v>-5777.8</v>
      </c>
    </row>
    <row r="264" spans="1:7" x14ac:dyDescent="0.25">
      <c r="A264">
        <v>20141111</v>
      </c>
      <c r="B264" t="s">
        <v>226</v>
      </c>
      <c r="C264">
        <v>540</v>
      </c>
      <c r="D264" t="s">
        <v>224</v>
      </c>
      <c r="E264">
        <v>0.88</v>
      </c>
      <c r="F264">
        <v>1</v>
      </c>
      <c r="G264">
        <v>0</v>
      </c>
    </row>
    <row r="265" spans="1:7" x14ac:dyDescent="0.25">
      <c r="A265">
        <v>20141111</v>
      </c>
      <c r="B265" t="s">
        <v>226</v>
      </c>
      <c r="C265">
        <v>540</v>
      </c>
      <c r="D265" t="s">
        <v>224</v>
      </c>
      <c r="E265">
        <v>67.02</v>
      </c>
      <c r="F265">
        <v>1</v>
      </c>
      <c r="G265">
        <v>0</v>
      </c>
    </row>
    <row r="266" spans="1:7" x14ac:dyDescent="0.25">
      <c r="A266">
        <v>20141112</v>
      </c>
      <c r="B266" t="s">
        <v>226</v>
      </c>
      <c r="C266">
        <v>540</v>
      </c>
      <c r="D266" t="s">
        <v>224</v>
      </c>
      <c r="E266">
        <v>0.89</v>
      </c>
      <c r="F266">
        <v>1</v>
      </c>
      <c r="G266">
        <v>0</v>
      </c>
    </row>
    <row r="267" spans="1:7" x14ac:dyDescent="0.25">
      <c r="A267">
        <v>20141112</v>
      </c>
      <c r="B267" t="s">
        <v>226</v>
      </c>
      <c r="C267">
        <v>540</v>
      </c>
      <c r="D267" t="s">
        <v>224</v>
      </c>
      <c r="E267">
        <v>68.37</v>
      </c>
      <c r="F267">
        <v>1</v>
      </c>
      <c r="G267">
        <v>0</v>
      </c>
    </row>
    <row r="268" spans="1:7" x14ac:dyDescent="0.25">
      <c r="A268">
        <v>20141113</v>
      </c>
      <c r="B268" t="s">
        <v>226</v>
      </c>
      <c r="C268">
        <v>540</v>
      </c>
      <c r="D268" t="s">
        <v>224</v>
      </c>
      <c r="E268">
        <v>1.2</v>
      </c>
      <c r="F268">
        <v>1</v>
      </c>
      <c r="G268">
        <v>0</v>
      </c>
    </row>
    <row r="269" spans="1:7" x14ac:dyDescent="0.25">
      <c r="A269">
        <v>20141113</v>
      </c>
      <c r="B269" t="s">
        <v>226</v>
      </c>
      <c r="C269">
        <v>540</v>
      </c>
      <c r="D269" t="s">
        <v>224</v>
      </c>
      <c r="E269">
        <v>91.32</v>
      </c>
      <c r="F269">
        <v>1</v>
      </c>
      <c r="G269">
        <v>0</v>
      </c>
    </row>
    <row r="270" spans="1:7" x14ac:dyDescent="0.25">
      <c r="A270">
        <v>20141114</v>
      </c>
      <c r="B270" t="s">
        <v>226</v>
      </c>
      <c r="C270">
        <v>540</v>
      </c>
      <c r="D270" t="s">
        <v>224</v>
      </c>
      <c r="E270">
        <v>1.69</v>
      </c>
      <c r="F270">
        <v>1</v>
      </c>
      <c r="G270">
        <v>0</v>
      </c>
    </row>
    <row r="271" spans="1:7" x14ac:dyDescent="0.25">
      <c r="A271">
        <v>20141114</v>
      </c>
      <c r="B271" t="s">
        <v>226</v>
      </c>
      <c r="C271">
        <v>540</v>
      </c>
      <c r="D271" t="s">
        <v>224</v>
      </c>
      <c r="E271">
        <v>129.02000000000001</v>
      </c>
      <c r="F271">
        <v>1</v>
      </c>
      <c r="G271">
        <v>0</v>
      </c>
    </row>
    <row r="272" spans="1:7" x14ac:dyDescent="0.25">
      <c r="A272">
        <v>20141117</v>
      </c>
      <c r="B272" t="s">
        <v>146</v>
      </c>
      <c r="E272">
        <v>0</v>
      </c>
      <c r="F272">
        <v>0</v>
      </c>
      <c r="G272">
        <v>100</v>
      </c>
    </row>
    <row r="273" spans="1:7" x14ac:dyDescent="0.25">
      <c r="A273">
        <v>20141117</v>
      </c>
      <c r="B273" t="s">
        <v>146</v>
      </c>
      <c r="E273">
        <v>0</v>
      </c>
      <c r="F273">
        <v>0</v>
      </c>
      <c r="G273">
        <v>75900</v>
      </c>
    </row>
    <row r="274" spans="1:7" x14ac:dyDescent="0.25">
      <c r="A274">
        <v>20141117</v>
      </c>
      <c r="B274" t="s">
        <v>173</v>
      </c>
      <c r="C274">
        <v>734166</v>
      </c>
      <c r="D274" t="s">
        <v>191</v>
      </c>
      <c r="E274">
        <v>13000</v>
      </c>
      <c r="F274">
        <v>5.8</v>
      </c>
      <c r="G274">
        <v>-75400</v>
      </c>
    </row>
    <row r="275" spans="1:7" x14ac:dyDescent="0.25">
      <c r="A275">
        <v>20141117</v>
      </c>
      <c r="B275" t="s">
        <v>146</v>
      </c>
      <c r="E275">
        <v>0</v>
      </c>
      <c r="F275">
        <v>0</v>
      </c>
      <c r="G275">
        <v>50</v>
      </c>
    </row>
    <row r="276" spans="1:7" x14ac:dyDescent="0.25">
      <c r="A276">
        <v>20141117</v>
      </c>
      <c r="B276" t="s">
        <v>226</v>
      </c>
      <c r="C276">
        <v>540</v>
      </c>
      <c r="D276" t="s">
        <v>224</v>
      </c>
      <c r="E276">
        <v>0.68</v>
      </c>
      <c r="F276">
        <v>1</v>
      </c>
      <c r="G276">
        <v>0</v>
      </c>
    </row>
    <row r="277" spans="1:7" x14ac:dyDescent="0.25">
      <c r="A277">
        <v>20141117</v>
      </c>
      <c r="B277" t="s">
        <v>223</v>
      </c>
      <c r="C277">
        <v>540</v>
      </c>
      <c r="D277" t="s">
        <v>224</v>
      </c>
      <c r="E277">
        <v>50</v>
      </c>
      <c r="F277">
        <v>1</v>
      </c>
      <c r="G277">
        <v>-50</v>
      </c>
    </row>
    <row r="278" spans="1:7" x14ac:dyDescent="0.25">
      <c r="A278">
        <v>20141117</v>
      </c>
      <c r="B278" t="s">
        <v>146</v>
      </c>
      <c r="E278">
        <v>0</v>
      </c>
      <c r="F278">
        <v>0</v>
      </c>
      <c r="G278">
        <v>157000</v>
      </c>
    </row>
    <row r="279" spans="1:7" x14ac:dyDescent="0.25">
      <c r="A279">
        <v>20141117</v>
      </c>
      <c r="B279" t="s">
        <v>226</v>
      </c>
      <c r="C279">
        <v>540</v>
      </c>
      <c r="D279" t="s">
        <v>224</v>
      </c>
      <c r="E279">
        <v>52.05</v>
      </c>
      <c r="F279">
        <v>1</v>
      </c>
      <c r="G279">
        <v>0</v>
      </c>
    </row>
    <row r="280" spans="1:7" x14ac:dyDescent="0.25">
      <c r="A280">
        <v>20141117</v>
      </c>
      <c r="B280" t="s">
        <v>223</v>
      </c>
      <c r="C280">
        <v>540</v>
      </c>
      <c r="D280" t="s">
        <v>224</v>
      </c>
      <c r="E280">
        <v>157000</v>
      </c>
      <c r="F280">
        <v>1</v>
      </c>
      <c r="G280">
        <v>-157000</v>
      </c>
    </row>
    <row r="281" spans="1:7" x14ac:dyDescent="0.25">
      <c r="A281">
        <v>20141118</v>
      </c>
      <c r="B281" t="s">
        <v>171</v>
      </c>
      <c r="E281">
        <v>0</v>
      </c>
      <c r="F281">
        <v>0</v>
      </c>
      <c r="G281">
        <v>-42749</v>
      </c>
    </row>
    <row r="282" spans="1:7" x14ac:dyDescent="0.25">
      <c r="A282">
        <v>20141118</v>
      </c>
      <c r="B282" t="s">
        <v>153</v>
      </c>
      <c r="C282">
        <v>2731</v>
      </c>
      <c r="D282" t="s">
        <v>211</v>
      </c>
      <c r="E282">
        <v>-1000</v>
      </c>
      <c r="F282">
        <v>42.4</v>
      </c>
      <c r="G282">
        <v>42340.639999999999</v>
      </c>
    </row>
    <row r="283" spans="1:7" x14ac:dyDescent="0.25">
      <c r="A283">
        <v>20141118</v>
      </c>
      <c r="B283" t="s">
        <v>176</v>
      </c>
      <c r="C283">
        <v>736166</v>
      </c>
      <c r="D283" t="s">
        <v>228</v>
      </c>
      <c r="E283">
        <v>13</v>
      </c>
      <c r="F283">
        <v>5.8</v>
      </c>
      <c r="G283">
        <v>0</v>
      </c>
    </row>
    <row r="284" spans="1:7" x14ac:dyDescent="0.25">
      <c r="A284">
        <v>20141118</v>
      </c>
      <c r="B284" t="s">
        <v>226</v>
      </c>
      <c r="C284">
        <v>540</v>
      </c>
      <c r="D284" t="s">
        <v>224</v>
      </c>
      <c r="E284">
        <v>0.45</v>
      </c>
      <c r="F284">
        <v>1</v>
      </c>
      <c r="G284">
        <v>0</v>
      </c>
    </row>
    <row r="285" spans="1:7" x14ac:dyDescent="0.25">
      <c r="A285">
        <v>20141118</v>
      </c>
      <c r="B285" t="s">
        <v>146</v>
      </c>
      <c r="E285">
        <v>0</v>
      </c>
      <c r="F285">
        <v>0</v>
      </c>
      <c r="G285">
        <v>300000</v>
      </c>
    </row>
    <row r="286" spans="1:7" x14ac:dyDescent="0.25">
      <c r="A286">
        <v>20141118</v>
      </c>
      <c r="B286" t="s">
        <v>226</v>
      </c>
      <c r="C286">
        <v>540</v>
      </c>
      <c r="D286" t="s">
        <v>224</v>
      </c>
      <c r="E286">
        <v>48.76</v>
      </c>
      <c r="F286">
        <v>1</v>
      </c>
      <c r="G286">
        <v>0</v>
      </c>
    </row>
    <row r="287" spans="1:7" x14ac:dyDescent="0.25">
      <c r="A287">
        <v>20141118</v>
      </c>
      <c r="B287" t="s">
        <v>229</v>
      </c>
      <c r="C287">
        <v>540</v>
      </c>
      <c r="D287" t="s">
        <v>224</v>
      </c>
      <c r="E287">
        <v>24001.82</v>
      </c>
      <c r="F287">
        <v>1</v>
      </c>
      <c r="G287">
        <v>24001.82</v>
      </c>
    </row>
    <row r="288" spans="1:7" x14ac:dyDescent="0.25">
      <c r="A288">
        <v>20141118</v>
      </c>
      <c r="B288" t="s">
        <v>147</v>
      </c>
      <c r="C288">
        <v>110015</v>
      </c>
      <c r="D288" t="s">
        <v>158</v>
      </c>
      <c r="E288">
        <v>3000</v>
      </c>
      <c r="F288">
        <v>108</v>
      </c>
      <c r="G288">
        <v>-324001.62</v>
      </c>
    </row>
    <row r="289" spans="1:7" x14ac:dyDescent="0.25">
      <c r="A289">
        <v>20141119</v>
      </c>
      <c r="B289" t="s">
        <v>177</v>
      </c>
      <c r="C289">
        <v>734166</v>
      </c>
      <c r="D289" t="s">
        <v>191</v>
      </c>
      <c r="E289">
        <v>-13000</v>
      </c>
      <c r="F289">
        <v>5.8</v>
      </c>
      <c r="G289">
        <v>75400</v>
      </c>
    </row>
    <row r="290" spans="1:7" x14ac:dyDescent="0.25">
      <c r="A290">
        <v>20141119</v>
      </c>
      <c r="B290" t="s">
        <v>226</v>
      </c>
      <c r="C290">
        <v>540</v>
      </c>
      <c r="D290" t="s">
        <v>224</v>
      </c>
      <c r="E290">
        <v>1.38</v>
      </c>
      <c r="F290">
        <v>1</v>
      </c>
      <c r="G290">
        <v>0</v>
      </c>
    </row>
    <row r="291" spans="1:7" x14ac:dyDescent="0.25">
      <c r="A291">
        <v>20141119</v>
      </c>
      <c r="B291" t="s">
        <v>146</v>
      </c>
      <c r="E291">
        <v>0</v>
      </c>
      <c r="F291">
        <v>0</v>
      </c>
      <c r="G291">
        <v>800000</v>
      </c>
    </row>
    <row r="292" spans="1:7" x14ac:dyDescent="0.25">
      <c r="A292">
        <v>20141119</v>
      </c>
      <c r="B292" t="s">
        <v>226</v>
      </c>
      <c r="C292">
        <v>540</v>
      </c>
      <c r="D292" t="s">
        <v>224</v>
      </c>
      <c r="E292">
        <v>142.58000000000001</v>
      </c>
      <c r="F292">
        <v>1</v>
      </c>
      <c r="G292">
        <v>0</v>
      </c>
    </row>
    <row r="293" spans="1:7" x14ac:dyDescent="0.25">
      <c r="A293">
        <v>20141119</v>
      </c>
      <c r="B293" t="s">
        <v>223</v>
      </c>
      <c r="C293">
        <v>540</v>
      </c>
      <c r="D293" t="s">
        <v>224</v>
      </c>
      <c r="E293">
        <v>800000.2</v>
      </c>
      <c r="F293">
        <v>1</v>
      </c>
      <c r="G293">
        <v>-800000.2</v>
      </c>
    </row>
    <row r="294" spans="1:7" x14ac:dyDescent="0.25">
      <c r="A294">
        <v>20141120</v>
      </c>
      <c r="B294" t="s">
        <v>146</v>
      </c>
      <c r="E294">
        <v>0</v>
      </c>
      <c r="F294">
        <v>0</v>
      </c>
      <c r="G294">
        <v>900000</v>
      </c>
    </row>
    <row r="295" spans="1:7" x14ac:dyDescent="0.25">
      <c r="A295">
        <v>20141120</v>
      </c>
      <c r="B295" t="s">
        <v>171</v>
      </c>
      <c r="E295">
        <v>0</v>
      </c>
      <c r="F295">
        <v>0</v>
      </c>
      <c r="G295">
        <v>-975510</v>
      </c>
    </row>
    <row r="296" spans="1:7" x14ac:dyDescent="0.25">
      <c r="A296">
        <v>20141120</v>
      </c>
      <c r="B296" t="s">
        <v>226</v>
      </c>
      <c r="C296">
        <v>540</v>
      </c>
      <c r="D296" t="s">
        <v>224</v>
      </c>
      <c r="E296">
        <v>0.45</v>
      </c>
      <c r="F296">
        <v>1</v>
      </c>
      <c r="G296">
        <v>0</v>
      </c>
    </row>
    <row r="297" spans="1:7" x14ac:dyDescent="0.25">
      <c r="A297">
        <v>20141120</v>
      </c>
      <c r="B297" t="s">
        <v>226</v>
      </c>
      <c r="C297">
        <v>540</v>
      </c>
      <c r="D297" t="s">
        <v>224</v>
      </c>
      <c r="E297">
        <v>120.54</v>
      </c>
      <c r="F297">
        <v>1</v>
      </c>
      <c r="G297">
        <v>0</v>
      </c>
    </row>
    <row r="298" spans="1:7" x14ac:dyDescent="0.25">
      <c r="A298">
        <v>20141121</v>
      </c>
      <c r="B298" t="s">
        <v>226</v>
      </c>
      <c r="C298">
        <v>540</v>
      </c>
      <c r="D298" t="s">
        <v>224</v>
      </c>
      <c r="E298">
        <v>0.82</v>
      </c>
      <c r="F298">
        <v>1</v>
      </c>
      <c r="G298">
        <v>0</v>
      </c>
    </row>
    <row r="299" spans="1:7" x14ac:dyDescent="0.25">
      <c r="A299">
        <v>20141121</v>
      </c>
      <c r="B299" t="s">
        <v>147</v>
      </c>
      <c r="C299">
        <v>601088</v>
      </c>
      <c r="D299" t="s">
        <v>168</v>
      </c>
      <c r="E299">
        <v>10000</v>
      </c>
      <c r="F299">
        <v>14.95</v>
      </c>
      <c r="G299">
        <v>-149543.38</v>
      </c>
    </row>
    <row r="300" spans="1:7" x14ac:dyDescent="0.25">
      <c r="A300">
        <v>20141121</v>
      </c>
      <c r="B300" t="s">
        <v>226</v>
      </c>
      <c r="C300">
        <v>540</v>
      </c>
      <c r="D300" t="s">
        <v>224</v>
      </c>
      <c r="E300">
        <v>220.4</v>
      </c>
      <c r="F300">
        <v>1</v>
      </c>
      <c r="G300">
        <v>0</v>
      </c>
    </row>
    <row r="301" spans="1:7" x14ac:dyDescent="0.25">
      <c r="A301">
        <v>20141121</v>
      </c>
      <c r="B301" t="s">
        <v>229</v>
      </c>
      <c r="C301">
        <v>540</v>
      </c>
      <c r="D301" t="s">
        <v>224</v>
      </c>
      <c r="E301">
        <v>1150043.58</v>
      </c>
      <c r="F301">
        <v>1</v>
      </c>
      <c r="G301">
        <v>1150043.58</v>
      </c>
    </row>
    <row r="302" spans="1:7" x14ac:dyDescent="0.25">
      <c r="A302">
        <v>20141124</v>
      </c>
      <c r="B302" t="s">
        <v>146</v>
      </c>
      <c r="E302">
        <v>0</v>
      </c>
      <c r="F302">
        <v>0</v>
      </c>
      <c r="G302">
        <v>211000</v>
      </c>
    </row>
    <row r="303" spans="1:7" x14ac:dyDescent="0.25">
      <c r="A303">
        <v>20141124</v>
      </c>
      <c r="B303" t="s">
        <v>146</v>
      </c>
      <c r="E303">
        <v>0</v>
      </c>
      <c r="F303">
        <v>0</v>
      </c>
      <c r="G303">
        <v>780000</v>
      </c>
    </row>
    <row r="304" spans="1:7" x14ac:dyDescent="0.25">
      <c r="A304">
        <v>20141124</v>
      </c>
      <c r="B304" t="s">
        <v>145</v>
      </c>
      <c r="E304">
        <v>0</v>
      </c>
      <c r="F304">
        <v>0</v>
      </c>
      <c r="G304">
        <v>-16000</v>
      </c>
    </row>
    <row r="305" spans="1:7" x14ac:dyDescent="0.25">
      <c r="A305">
        <v>20141124</v>
      </c>
      <c r="B305" t="s">
        <v>172</v>
      </c>
      <c r="E305">
        <v>0</v>
      </c>
      <c r="F305">
        <v>0</v>
      </c>
      <c r="G305">
        <v>253810</v>
      </c>
    </row>
    <row r="306" spans="1:7" x14ac:dyDescent="0.25">
      <c r="A306">
        <v>20141124</v>
      </c>
      <c r="B306" t="s">
        <v>173</v>
      </c>
      <c r="C306">
        <v>734368</v>
      </c>
      <c r="D306" t="s">
        <v>191</v>
      </c>
      <c r="E306">
        <v>11000</v>
      </c>
      <c r="F306">
        <v>26.22</v>
      </c>
      <c r="G306">
        <v>-288420</v>
      </c>
    </row>
    <row r="307" spans="1:7" x14ac:dyDescent="0.25">
      <c r="A307">
        <v>20141124</v>
      </c>
      <c r="B307" t="s">
        <v>173</v>
      </c>
      <c r="C307">
        <v>734518</v>
      </c>
      <c r="D307" t="s">
        <v>191</v>
      </c>
      <c r="E307">
        <v>14000</v>
      </c>
      <c r="F307">
        <v>20.02</v>
      </c>
      <c r="G307">
        <v>-280280</v>
      </c>
    </row>
    <row r="308" spans="1:7" x14ac:dyDescent="0.25">
      <c r="A308">
        <v>20141124</v>
      </c>
      <c r="B308" t="s">
        <v>173</v>
      </c>
      <c r="C308">
        <v>300407</v>
      </c>
      <c r="D308" t="s">
        <v>230</v>
      </c>
      <c r="E308">
        <v>6500</v>
      </c>
      <c r="F308">
        <v>22.34</v>
      </c>
      <c r="G308">
        <v>-145210</v>
      </c>
    </row>
    <row r="309" spans="1:7" x14ac:dyDescent="0.25">
      <c r="A309">
        <v>20141124</v>
      </c>
      <c r="B309" t="s">
        <v>173</v>
      </c>
      <c r="C309">
        <v>300409</v>
      </c>
      <c r="D309" t="s">
        <v>231</v>
      </c>
      <c r="E309">
        <v>6500</v>
      </c>
      <c r="F309">
        <v>17.3</v>
      </c>
      <c r="G309">
        <v>-112450</v>
      </c>
    </row>
    <row r="310" spans="1:7" x14ac:dyDescent="0.25">
      <c r="A310">
        <v>20141124</v>
      </c>
      <c r="B310" t="s">
        <v>173</v>
      </c>
      <c r="C310">
        <v>2733</v>
      </c>
      <c r="D310" t="s">
        <v>232</v>
      </c>
      <c r="E310">
        <v>13500</v>
      </c>
      <c r="F310">
        <v>13.16</v>
      </c>
      <c r="G310">
        <v>-177660</v>
      </c>
    </row>
    <row r="311" spans="1:7" x14ac:dyDescent="0.25">
      <c r="A311">
        <v>20141124</v>
      </c>
      <c r="B311" t="s">
        <v>173</v>
      </c>
      <c r="C311">
        <v>2732</v>
      </c>
      <c r="D311" t="s">
        <v>233</v>
      </c>
      <c r="E311">
        <v>15000</v>
      </c>
      <c r="F311">
        <v>10.130000000000001</v>
      </c>
      <c r="G311">
        <v>-151950</v>
      </c>
    </row>
    <row r="312" spans="1:7" x14ac:dyDescent="0.25">
      <c r="A312">
        <v>20141124</v>
      </c>
      <c r="B312" t="s">
        <v>173</v>
      </c>
      <c r="C312">
        <v>2735</v>
      </c>
      <c r="D312" t="s">
        <v>234</v>
      </c>
      <c r="E312">
        <v>8000</v>
      </c>
      <c r="F312">
        <v>9.23</v>
      </c>
      <c r="G312">
        <v>-73840</v>
      </c>
    </row>
    <row r="313" spans="1:7" x14ac:dyDescent="0.25">
      <c r="A313">
        <v>20141124</v>
      </c>
      <c r="B313" t="s">
        <v>226</v>
      </c>
      <c r="C313">
        <v>540</v>
      </c>
      <c r="D313" t="s">
        <v>224</v>
      </c>
      <c r="E313">
        <v>0.23</v>
      </c>
      <c r="F313">
        <v>1</v>
      </c>
      <c r="G313">
        <v>0</v>
      </c>
    </row>
    <row r="314" spans="1:7" x14ac:dyDescent="0.25">
      <c r="A314">
        <v>20141124</v>
      </c>
      <c r="B314" t="s">
        <v>145</v>
      </c>
      <c r="E314">
        <v>0</v>
      </c>
      <c r="F314">
        <v>0</v>
      </c>
      <c r="G314">
        <v>-211000</v>
      </c>
    </row>
    <row r="315" spans="1:7" x14ac:dyDescent="0.25">
      <c r="A315">
        <v>20141124</v>
      </c>
      <c r="B315" t="s">
        <v>145</v>
      </c>
      <c r="E315">
        <v>0</v>
      </c>
      <c r="F315">
        <v>0</v>
      </c>
      <c r="G315">
        <v>-780000</v>
      </c>
    </row>
    <row r="316" spans="1:7" x14ac:dyDescent="0.25">
      <c r="A316">
        <v>20141124</v>
      </c>
      <c r="B316" t="s">
        <v>226</v>
      </c>
      <c r="C316">
        <v>540</v>
      </c>
      <c r="D316" t="s">
        <v>224</v>
      </c>
      <c r="E316">
        <v>7.1</v>
      </c>
      <c r="F316">
        <v>1</v>
      </c>
      <c r="G316">
        <v>0</v>
      </c>
    </row>
    <row r="317" spans="1:7" x14ac:dyDescent="0.25">
      <c r="A317">
        <v>20141124</v>
      </c>
      <c r="B317" t="s">
        <v>229</v>
      </c>
      <c r="C317">
        <v>540</v>
      </c>
      <c r="D317" t="s">
        <v>224</v>
      </c>
      <c r="E317">
        <v>139749.79999999999</v>
      </c>
      <c r="F317">
        <v>1</v>
      </c>
      <c r="G317">
        <v>139749.79999999999</v>
      </c>
    </row>
    <row r="318" spans="1:7" x14ac:dyDescent="0.25">
      <c r="A318">
        <v>20141125</v>
      </c>
      <c r="B318" t="s">
        <v>146</v>
      </c>
      <c r="E318">
        <v>0</v>
      </c>
      <c r="F318">
        <v>0</v>
      </c>
      <c r="G318">
        <v>150000</v>
      </c>
    </row>
    <row r="319" spans="1:7" x14ac:dyDescent="0.25">
      <c r="A319">
        <v>20141125</v>
      </c>
      <c r="B319" t="s">
        <v>172</v>
      </c>
      <c r="E319">
        <v>0</v>
      </c>
      <c r="F319">
        <v>0</v>
      </c>
      <c r="G319">
        <v>736485</v>
      </c>
    </row>
    <row r="320" spans="1:7" x14ac:dyDescent="0.25">
      <c r="A320">
        <v>20141125</v>
      </c>
      <c r="B320" t="s">
        <v>173</v>
      </c>
      <c r="C320">
        <v>734998</v>
      </c>
      <c r="D320" t="s">
        <v>191</v>
      </c>
      <c r="E320">
        <v>10000</v>
      </c>
      <c r="F320">
        <v>14.85</v>
      </c>
      <c r="G320">
        <v>-148500</v>
      </c>
    </row>
    <row r="321" spans="1:7" x14ac:dyDescent="0.25">
      <c r="A321">
        <v>20141125</v>
      </c>
      <c r="B321" t="s">
        <v>173</v>
      </c>
      <c r="C321">
        <v>790969</v>
      </c>
      <c r="D321" t="s">
        <v>191</v>
      </c>
      <c r="E321">
        <v>33000</v>
      </c>
      <c r="F321">
        <v>10.34</v>
      </c>
      <c r="G321">
        <v>-341220</v>
      </c>
    </row>
    <row r="322" spans="1:7" x14ac:dyDescent="0.25">
      <c r="A322">
        <v>20141125</v>
      </c>
      <c r="B322" t="s">
        <v>176</v>
      </c>
      <c r="C322">
        <v>736368</v>
      </c>
      <c r="D322" t="s">
        <v>235</v>
      </c>
      <c r="E322">
        <v>11</v>
      </c>
      <c r="F322">
        <v>26.22</v>
      </c>
      <c r="G322">
        <v>0</v>
      </c>
    </row>
    <row r="323" spans="1:7" x14ac:dyDescent="0.25">
      <c r="A323">
        <v>20141125</v>
      </c>
      <c r="B323" t="s">
        <v>176</v>
      </c>
      <c r="C323">
        <v>736518</v>
      </c>
      <c r="D323" t="s">
        <v>236</v>
      </c>
      <c r="E323">
        <v>14</v>
      </c>
      <c r="F323">
        <v>20.02</v>
      </c>
      <c r="G323">
        <v>0</v>
      </c>
    </row>
    <row r="324" spans="1:7" x14ac:dyDescent="0.25">
      <c r="A324">
        <v>20141125</v>
      </c>
      <c r="B324" t="s">
        <v>173</v>
      </c>
      <c r="C324">
        <v>300408</v>
      </c>
      <c r="D324" t="s">
        <v>237</v>
      </c>
      <c r="E324">
        <v>13500</v>
      </c>
      <c r="F324">
        <v>29.39</v>
      </c>
      <c r="G324">
        <v>-396765</v>
      </c>
    </row>
    <row r="325" spans="1:7" x14ac:dyDescent="0.25">
      <c r="A325">
        <v>20141125</v>
      </c>
      <c r="B325" t="s">
        <v>176</v>
      </c>
      <c r="C325">
        <v>300407</v>
      </c>
      <c r="D325" t="s">
        <v>230</v>
      </c>
      <c r="E325">
        <v>13</v>
      </c>
      <c r="F325">
        <v>22.34</v>
      </c>
      <c r="G325">
        <v>0</v>
      </c>
    </row>
    <row r="326" spans="1:7" x14ac:dyDescent="0.25">
      <c r="A326">
        <v>20141125</v>
      </c>
      <c r="B326" t="s">
        <v>176</v>
      </c>
      <c r="C326">
        <v>300409</v>
      </c>
      <c r="D326" t="s">
        <v>231</v>
      </c>
      <c r="E326">
        <v>13</v>
      </c>
      <c r="F326">
        <v>17.3</v>
      </c>
      <c r="G326">
        <v>0</v>
      </c>
    </row>
    <row r="327" spans="1:7" x14ac:dyDescent="0.25">
      <c r="A327">
        <v>20141125</v>
      </c>
      <c r="B327" t="s">
        <v>176</v>
      </c>
      <c r="C327">
        <v>2733</v>
      </c>
      <c r="D327" t="s">
        <v>232</v>
      </c>
      <c r="E327">
        <v>27</v>
      </c>
      <c r="F327">
        <v>13.16</v>
      </c>
      <c r="G327">
        <v>0</v>
      </c>
    </row>
    <row r="328" spans="1:7" x14ac:dyDescent="0.25">
      <c r="A328">
        <v>20141125</v>
      </c>
      <c r="B328" t="s">
        <v>176</v>
      </c>
      <c r="C328">
        <v>2732</v>
      </c>
      <c r="D328" t="s">
        <v>233</v>
      </c>
      <c r="E328">
        <v>30</v>
      </c>
      <c r="F328">
        <v>10.130000000000001</v>
      </c>
      <c r="G328">
        <v>0</v>
      </c>
    </row>
    <row r="329" spans="1:7" x14ac:dyDescent="0.25">
      <c r="A329">
        <v>20141125</v>
      </c>
      <c r="B329" t="s">
        <v>176</v>
      </c>
      <c r="C329">
        <v>2735</v>
      </c>
      <c r="D329" t="s">
        <v>234</v>
      </c>
      <c r="E329">
        <v>16</v>
      </c>
      <c r="F329">
        <v>9.23</v>
      </c>
      <c r="G329">
        <v>0</v>
      </c>
    </row>
    <row r="330" spans="1:7" x14ac:dyDescent="0.25">
      <c r="A330">
        <v>20141125</v>
      </c>
      <c r="B330" t="s">
        <v>226</v>
      </c>
      <c r="C330">
        <v>540</v>
      </c>
      <c r="D330" t="s">
        <v>224</v>
      </c>
      <c r="E330">
        <v>0.43</v>
      </c>
      <c r="F330">
        <v>1</v>
      </c>
      <c r="G330">
        <v>0</v>
      </c>
    </row>
    <row r="331" spans="1:7" x14ac:dyDescent="0.25">
      <c r="A331">
        <v>20141125</v>
      </c>
      <c r="B331" t="s">
        <v>145</v>
      </c>
      <c r="E331">
        <v>0</v>
      </c>
      <c r="F331">
        <v>0</v>
      </c>
      <c r="G331">
        <v>-148750</v>
      </c>
    </row>
    <row r="332" spans="1:7" x14ac:dyDescent="0.25">
      <c r="A332">
        <v>20141125</v>
      </c>
      <c r="B332" t="s">
        <v>229</v>
      </c>
      <c r="C332">
        <v>540</v>
      </c>
      <c r="D332" t="s">
        <v>224</v>
      </c>
      <c r="E332">
        <v>9509.2199999999993</v>
      </c>
      <c r="F332">
        <v>1</v>
      </c>
      <c r="G332">
        <v>9510.07</v>
      </c>
    </row>
    <row r="333" spans="1:7" x14ac:dyDescent="0.25">
      <c r="A333">
        <v>20141126</v>
      </c>
      <c r="B333" t="s">
        <v>177</v>
      </c>
      <c r="C333">
        <v>734368</v>
      </c>
      <c r="D333" t="s">
        <v>191</v>
      </c>
      <c r="E333">
        <v>-11000</v>
      </c>
      <c r="F333">
        <v>26.22</v>
      </c>
      <c r="G333">
        <v>288420</v>
      </c>
    </row>
    <row r="334" spans="1:7" x14ac:dyDescent="0.25">
      <c r="A334">
        <v>20141126</v>
      </c>
      <c r="B334" t="s">
        <v>177</v>
      </c>
      <c r="C334">
        <v>734518</v>
      </c>
      <c r="D334" t="s">
        <v>191</v>
      </c>
      <c r="E334">
        <v>-14000</v>
      </c>
      <c r="F334">
        <v>20.02</v>
      </c>
      <c r="G334">
        <v>280280</v>
      </c>
    </row>
    <row r="335" spans="1:7" x14ac:dyDescent="0.25">
      <c r="A335">
        <v>20141126</v>
      </c>
      <c r="B335" t="s">
        <v>186</v>
      </c>
      <c r="C335">
        <v>732518</v>
      </c>
      <c r="D335" t="s">
        <v>238</v>
      </c>
      <c r="E335">
        <v>1000</v>
      </c>
      <c r="F335">
        <v>20.02</v>
      </c>
      <c r="G335">
        <v>-20020</v>
      </c>
    </row>
    <row r="336" spans="1:7" x14ac:dyDescent="0.25">
      <c r="A336">
        <v>20141126</v>
      </c>
      <c r="B336" t="s">
        <v>176</v>
      </c>
      <c r="C336">
        <v>736998</v>
      </c>
      <c r="D336" t="s">
        <v>239</v>
      </c>
      <c r="E336">
        <v>10</v>
      </c>
      <c r="F336">
        <v>14.85</v>
      </c>
      <c r="G336">
        <v>0</v>
      </c>
    </row>
    <row r="337" spans="1:7" x14ac:dyDescent="0.25">
      <c r="A337">
        <v>20141126</v>
      </c>
      <c r="B337" t="s">
        <v>176</v>
      </c>
      <c r="C337">
        <v>791969</v>
      </c>
      <c r="D337" t="s">
        <v>240</v>
      </c>
      <c r="E337">
        <v>33</v>
      </c>
      <c r="F337">
        <v>10.34</v>
      </c>
      <c r="G337">
        <v>0</v>
      </c>
    </row>
    <row r="338" spans="1:7" x14ac:dyDescent="0.25">
      <c r="A338">
        <v>20141126</v>
      </c>
      <c r="B338" t="s">
        <v>177</v>
      </c>
      <c r="C338">
        <v>300407</v>
      </c>
      <c r="D338" t="s">
        <v>230</v>
      </c>
      <c r="E338">
        <v>-6500</v>
      </c>
      <c r="F338">
        <v>22.34</v>
      </c>
      <c r="G338">
        <v>145210</v>
      </c>
    </row>
    <row r="339" spans="1:7" x14ac:dyDescent="0.25">
      <c r="A339">
        <v>20141126</v>
      </c>
      <c r="B339" t="s">
        <v>177</v>
      </c>
      <c r="C339">
        <v>300409</v>
      </c>
      <c r="D339" t="s">
        <v>231</v>
      </c>
      <c r="E339">
        <v>-6500</v>
      </c>
      <c r="F339">
        <v>17.3</v>
      </c>
      <c r="G339">
        <v>112450</v>
      </c>
    </row>
    <row r="340" spans="1:7" x14ac:dyDescent="0.25">
      <c r="A340">
        <v>20141126</v>
      </c>
      <c r="B340" t="s">
        <v>177</v>
      </c>
      <c r="C340">
        <v>2735</v>
      </c>
      <c r="D340" t="s">
        <v>234</v>
      </c>
      <c r="E340">
        <v>-8000</v>
      </c>
      <c r="F340">
        <v>9.23</v>
      </c>
      <c r="G340">
        <v>73840</v>
      </c>
    </row>
    <row r="341" spans="1:7" x14ac:dyDescent="0.25">
      <c r="A341">
        <v>20141126</v>
      </c>
      <c r="B341" t="s">
        <v>177</v>
      </c>
      <c r="C341">
        <v>2733</v>
      </c>
      <c r="D341" t="s">
        <v>232</v>
      </c>
      <c r="E341">
        <v>-13500</v>
      </c>
      <c r="F341">
        <v>13.16</v>
      </c>
      <c r="G341">
        <v>177660</v>
      </c>
    </row>
    <row r="342" spans="1:7" x14ac:dyDescent="0.25">
      <c r="A342">
        <v>20141126</v>
      </c>
      <c r="B342" t="s">
        <v>177</v>
      </c>
      <c r="C342">
        <v>2732</v>
      </c>
      <c r="D342" t="s">
        <v>233</v>
      </c>
      <c r="E342">
        <v>-15000</v>
      </c>
      <c r="F342">
        <v>10.130000000000001</v>
      </c>
      <c r="G342">
        <v>151950</v>
      </c>
    </row>
    <row r="343" spans="1:7" x14ac:dyDescent="0.25">
      <c r="A343">
        <v>20141126</v>
      </c>
      <c r="B343" t="s">
        <v>176</v>
      </c>
      <c r="C343">
        <v>300408</v>
      </c>
      <c r="D343" t="s">
        <v>237</v>
      </c>
      <c r="E343">
        <v>27</v>
      </c>
      <c r="F343">
        <v>29.39</v>
      </c>
      <c r="G343">
        <v>0</v>
      </c>
    </row>
    <row r="344" spans="1:7" x14ac:dyDescent="0.25">
      <c r="A344">
        <v>20141126</v>
      </c>
      <c r="B344" t="s">
        <v>226</v>
      </c>
      <c r="C344">
        <v>540</v>
      </c>
      <c r="D344" t="s">
        <v>224</v>
      </c>
      <c r="E344">
        <v>0.38</v>
      </c>
      <c r="F344">
        <v>1</v>
      </c>
      <c r="G344">
        <v>0</v>
      </c>
    </row>
    <row r="345" spans="1:7" x14ac:dyDescent="0.25">
      <c r="A345">
        <v>20141127</v>
      </c>
      <c r="B345" t="s">
        <v>171</v>
      </c>
      <c r="E345">
        <v>0</v>
      </c>
      <c r="F345">
        <v>0</v>
      </c>
      <c r="G345">
        <v>-878790</v>
      </c>
    </row>
    <row r="346" spans="1:7" x14ac:dyDescent="0.25">
      <c r="A346">
        <v>20141127</v>
      </c>
      <c r="B346" t="s">
        <v>173</v>
      </c>
      <c r="C346">
        <v>790226</v>
      </c>
      <c r="D346" t="s">
        <v>191</v>
      </c>
      <c r="E346">
        <v>33000</v>
      </c>
      <c r="F346">
        <v>10</v>
      </c>
      <c r="G346">
        <v>-330000</v>
      </c>
    </row>
    <row r="347" spans="1:7" x14ac:dyDescent="0.25">
      <c r="A347">
        <v>20141127</v>
      </c>
      <c r="B347" t="s">
        <v>177</v>
      </c>
      <c r="C347">
        <v>734998</v>
      </c>
      <c r="D347" t="s">
        <v>191</v>
      </c>
      <c r="E347">
        <v>-10000</v>
      </c>
      <c r="F347">
        <v>14.85</v>
      </c>
      <c r="G347">
        <v>148500</v>
      </c>
    </row>
    <row r="348" spans="1:7" x14ac:dyDescent="0.25">
      <c r="A348">
        <v>20141127</v>
      </c>
      <c r="B348" t="s">
        <v>177</v>
      </c>
      <c r="C348">
        <v>790969</v>
      </c>
      <c r="D348" t="s">
        <v>191</v>
      </c>
      <c r="E348">
        <v>-33000</v>
      </c>
      <c r="F348">
        <v>10.34</v>
      </c>
      <c r="G348">
        <v>341220</v>
      </c>
    </row>
    <row r="349" spans="1:7" x14ac:dyDescent="0.25">
      <c r="A349">
        <v>20141127</v>
      </c>
      <c r="B349" t="s">
        <v>186</v>
      </c>
      <c r="C349">
        <v>780969</v>
      </c>
      <c r="D349" t="s">
        <v>241</v>
      </c>
      <c r="E349">
        <v>1000</v>
      </c>
      <c r="F349">
        <v>10.34</v>
      </c>
      <c r="G349">
        <v>-10340</v>
      </c>
    </row>
    <row r="350" spans="1:7" x14ac:dyDescent="0.25">
      <c r="A350">
        <v>20141127</v>
      </c>
      <c r="B350" t="s">
        <v>161</v>
      </c>
      <c r="C350">
        <v>113005</v>
      </c>
      <c r="D350" t="s">
        <v>159</v>
      </c>
      <c r="E350">
        <v>0</v>
      </c>
      <c r="F350">
        <v>0</v>
      </c>
      <c r="G350">
        <v>1600</v>
      </c>
    </row>
    <row r="351" spans="1:7" x14ac:dyDescent="0.25">
      <c r="A351">
        <v>20141127</v>
      </c>
      <c r="B351" t="s">
        <v>177</v>
      </c>
      <c r="C351">
        <v>300408</v>
      </c>
      <c r="D351" t="s">
        <v>237</v>
      </c>
      <c r="E351">
        <v>-13500</v>
      </c>
      <c r="F351">
        <v>29.39</v>
      </c>
      <c r="G351">
        <v>396765</v>
      </c>
    </row>
    <row r="352" spans="1:7" x14ac:dyDescent="0.25">
      <c r="A352">
        <v>20141127</v>
      </c>
      <c r="B352" t="s">
        <v>186</v>
      </c>
      <c r="C352">
        <v>300408</v>
      </c>
      <c r="D352" t="s">
        <v>237</v>
      </c>
      <c r="E352">
        <v>500</v>
      </c>
      <c r="F352">
        <v>29.39</v>
      </c>
      <c r="G352">
        <v>-14695</v>
      </c>
    </row>
    <row r="353" spans="1:7" x14ac:dyDescent="0.25">
      <c r="A353">
        <v>20141127</v>
      </c>
      <c r="B353" t="s">
        <v>226</v>
      </c>
      <c r="C353">
        <v>540</v>
      </c>
      <c r="D353" t="s">
        <v>224</v>
      </c>
      <c r="E353">
        <v>1.69</v>
      </c>
      <c r="F353">
        <v>1</v>
      </c>
      <c r="G353">
        <v>0</v>
      </c>
    </row>
    <row r="354" spans="1:7" x14ac:dyDescent="0.25">
      <c r="A354">
        <v>20141127</v>
      </c>
      <c r="B354" t="s">
        <v>146</v>
      </c>
      <c r="E354">
        <v>0</v>
      </c>
      <c r="F354">
        <v>0</v>
      </c>
      <c r="G354">
        <v>1000</v>
      </c>
    </row>
    <row r="355" spans="1:7" x14ac:dyDescent="0.25">
      <c r="A355">
        <v>20141127</v>
      </c>
      <c r="B355" t="s">
        <v>173</v>
      </c>
      <c r="C355">
        <v>790226</v>
      </c>
      <c r="D355" t="s">
        <v>191</v>
      </c>
      <c r="E355">
        <v>1000</v>
      </c>
      <c r="F355">
        <v>10</v>
      </c>
      <c r="G355">
        <v>-10000</v>
      </c>
    </row>
    <row r="356" spans="1:7" x14ac:dyDescent="0.25">
      <c r="A356">
        <v>20141128</v>
      </c>
      <c r="B356" t="s">
        <v>145</v>
      </c>
      <c r="E356">
        <v>0</v>
      </c>
      <c r="F356">
        <v>0</v>
      </c>
      <c r="G356">
        <v>-600000</v>
      </c>
    </row>
    <row r="357" spans="1:7" x14ac:dyDescent="0.25">
      <c r="A357">
        <v>20141128</v>
      </c>
      <c r="B357" t="s">
        <v>145</v>
      </c>
      <c r="E357">
        <v>0</v>
      </c>
      <c r="F357">
        <v>0</v>
      </c>
      <c r="G357">
        <v>-260000</v>
      </c>
    </row>
    <row r="358" spans="1:7" x14ac:dyDescent="0.25">
      <c r="A358">
        <v>20141128</v>
      </c>
      <c r="B358" t="s">
        <v>145</v>
      </c>
      <c r="E358">
        <v>0</v>
      </c>
      <c r="F358">
        <v>0</v>
      </c>
      <c r="G358">
        <v>-3000</v>
      </c>
    </row>
    <row r="359" spans="1:7" x14ac:dyDescent="0.25">
      <c r="A359">
        <v>20141128</v>
      </c>
      <c r="B359" t="s">
        <v>172</v>
      </c>
      <c r="E359">
        <v>0</v>
      </c>
      <c r="F359">
        <v>0</v>
      </c>
      <c r="G359">
        <v>906754</v>
      </c>
    </row>
    <row r="360" spans="1:7" x14ac:dyDescent="0.25">
      <c r="A360">
        <v>20141128</v>
      </c>
      <c r="B360" t="s">
        <v>176</v>
      </c>
      <c r="C360">
        <v>791226</v>
      </c>
      <c r="D360" t="s">
        <v>242</v>
      </c>
      <c r="E360">
        <v>33</v>
      </c>
      <c r="F360">
        <v>10</v>
      </c>
      <c r="G360">
        <v>0</v>
      </c>
    </row>
    <row r="361" spans="1:7" x14ac:dyDescent="0.25">
      <c r="A361">
        <v>20141128</v>
      </c>
      <c r="B361" t="s">
        <v>187</v>
      </c>
      <c r="C361">
        <v>300408</v>
      </c>
      <c r="D361" t="s">
        <v>237</v>
      </c>
      <c r="E361">
        <v>500</v>
      </c>
      <c r="F361">
        <v>29.39</v>
      </c>
      <c r="G361">
        <v>0</v>
      </c>
    </row>
    <row r="362" spans="1:7" x14ac:dyDescent="0.25">
      <c r="A362">
        <v>20141128</v>
      </c>
      <c r="B362" t="s">
        <v>146</v>
      </c>
      <c r="E362">
        <v>0</v>
      </c>
      <c r="F362">
        <v>0</v>
      </c>
      <c r="G362">
        <v>600000</v>
      </c>
    </row>
    <row r="363" spans="1:7" x14ac:dyDescent="0.25">
      <c r="A363">
        <v>20141128</v>
      </c>
      <c r="B363" t="s">
        <v>226</v>
      </c>
      <c r="C363">
        <v>540</v>
      </c>
      <c r="D363" t="s">
        <v>224</v>
      </c>
      <c r="E363">
        <v>2.04</v>
      </c>
      <c r="F363">
        <v>1</v>
      </c>
      <c r="G363">
        <v>0</v>
      </c>
    </row>
    <row r="364" spans="1:7" x14ac:dyDescent="0.25">
      <c r="A364">
        <v>20141128</v>
      </c>
      <c r="B364" t="s">
        <v>223</v>
      </c>
      <c r="C364">
        <v>540</v>
      </c>
      <c r="D364" t="s">
        <v>224</v>
      </c>
      <c r="E364">
        <v>600000</v>
      </c>
      <c r="F364">
        <v>1</v>
      </c>
      <c r="G364">
        <v>-600000</v>
      </c>
    </row>
    <row r="365" spans="1:7" x14ac:dyDescent="0.25">
      <c r="A365">
        <v>20141128</v>
      </c>
      <c r="B365" t="s">
        <v>146</v>
      </c>
      <c r="E365">
        <v>0</v>
      </c>
      <c r="F365">
        <v>0</v>
      </c>
      <c r="G365">
        <v>260000</v>
      </c>
    </row>
    <row r="366" spans="1:7" x14ac:dyDescent="0.25">
      <c r="A366">
        <v>20141128</v>
      </c>
      <c r="B366" t="s">
        <v>176</v>
      </c>
      <c r="C366">
        <v>791226</v>
      </c>
      <c r="D366" t="s">
        <v>242</v>
      </c>
      <c r="E366">
        <v>1</v>
      </c>
      <c r="F366">
        <v>0</v>
      </c>
      <c r="G366">
        <v>0</v>
      </c>
    </row>
    <row r="367" spans="1:7" x14ac:dyDescent="0.25">
      <c r="A367">
        <v>20141128</v>
      </c>
      <c r="B367" t="s">
        <v>223</v>
      </c>
      <c r="C367">
        <v>540</v>
      </c>
      <c r="D367" t="s">
        <v>224</v>
      </c>
      <c r="E367">
        <v>111760.07</v>
      </c>
      <c r="F367">
        <v>1</v>
      </c>
      <c r="G367">
        <v>-111760.07</v>
      </c>
    </row>
    <row r="368" spans="1:7" x14ac:dyDescent="0.25">
      <c r="A368">
        <v>20141201</v>
      </c>
      <c r="B368" t="s">
        <v>146</v>
      </c>
      <c r="E368">
        <v>0</v>
      </c>
      <c r="F368">
        <v>0</v>
      </c>
      <c r="G368">
        <v>900000</v>
      </c>
    </row>
    <row r="369" spans="1:7" x14ac:dyDescent="0.25">
      <c r="A369">
        <v>20141201</v>
      </c>
      <c r="B369" t="s">
        <v>177</v>
      </c>
      <c r="C369">
        <v>790226</v>
      </c>
      <c r="D369" t="s">
        <v>191</v>
      </c>
      <c r="E369">
        <v>-1000</v>
      </c>
      <c r="F369">
        <v>10</v>
      </c>
      <c r="G369">
        <v>10000</v>
      </c>
    </row>
    <row r="370" spans="1:7" x14ac:dyDescent="0.25">
      <c r="A370">
        <v>20141201</v>
      </c>
      <c r="B370" t="s">
        <v>226</v>
      </c>
      <c r="C370">
        <v>540</v>
      </c>
      <c r="D370" t="s">
        <v>224</v>
      </c>
      <c r="E370">
        <v>10.119999999999999</v>
      </c>
      <c r="F370">
        <v>1</v>
      </c>
      <c r="G370">
        <v>0</v>
      </c>
    </row>
    <row r="371" spans="1:7" x14ac:dyDescent="0.25">
      <c r="A371">
        <v>20141201</v>
      </c>
      <c r="B371" t="s">
        <v>223</v>
      </c>
      <c r="C371">
        <v>540</v>
      </c>
      <c r="D371" t="s">
        <v>224</v>
      </c>
      <c r="E371">
        <v>1048750</v>
      </c>
      <c r="F371">
        <v>1</v>
      </c>
      <c r="G371">
        <v>-1048750</v>
      </c>
    </row>
    <row r="372" spans="1:7" x14ac:dyDescent="0.25">
      <c r="A372">
        <v>20141201</v>
      </c>
      <c r="B372" t="s">
        <v>145</v>
      </c>
      <c r="E372">
        <v>0</v>
      </c>
      <c r="F372">
        <v>0</v>
      </c>
      <c r="G372">
        <v>-906000</v>
      </c>
    </row>
    <row r="373" spans="1:7" x14ac:dyDescent="0.25">
      <c r="A373">
        <v>20141201</v>
      </c>
      <c r="B373" t="s">
        <v>177</v>
      </c>
      <c r="C373">
        <v>790226</v>
      </c>
      <c r="D373" t="s">
        <v>191</v>
      </c>
      <c r="E373">
        <v>-33000</v>
      </c>
      <c r="F373">
        <v>10</v>
      </c>
      <c r="G373">
        <v>330000</v>
      </c>
    </row>
    <row r="374" spans="1:7" x14ac:dyDescent="0.25">
      <c r="A374">
        <v>20141201</v>
      </c>
      <c r="B374" t="s">
        <v>186</v>
      </c>
      <c r="C374">
        <v>780226</v>
      </c>
      <c r="D374" t="s">
        <v>243</v>
      </c>
      <c r="E374">
        <v>1000</v>
      </c>
      <c r="F374">
        <v>10</v>
      </c>
      <c r="G374">
        <v>-10000</v>
      </c>
    </row>
    <row r="375" spans="1:7" x14ac:dyDescent="0.25">
      <c r="A375">
        <v>20141201</v>
      </c>
      <c r="B375" t="s">
        <v>147</v>
      </c>
      <c r="C375">
        <v>2038</v>
      </c>
      <c r="D375" t="s">
        <v>244</v>
      </c>
      <c r="E375">
        <v>200</v>
      </c>
      <c r="F375">
        <v>41.5</v>
      </c>
      <c r="G375">
        <v>-8305</v>
      </c>
    </row>
    <row r="376" spans="1:7" x14ac:dyDescent="0.25">
      <c r="A376">
        <v>20141201</v>
      </c>
      <c r="B376" t="s">
        <v>147</v>
      </c>
      <c r="C376">
        <v>300058</v>
      </c>
      <c r="D376" t="s">
        <v>245</v>
      </c>
      <c r="E376">
        <v>400</v>
      </c>
      <c r="F376">
        <v>22.5</v>
      </c>
      <c r="G376">
        <v>-9005</v>
      </c>
    </row>
    <row r="377" spans="1:7" x14ac:dyDescent="0.25">
      <c r="A377">
        <v>20141201</v>
      </c>
      <c r="B377" t="s">
        <v>147</v>
      </c>
      <c r="C377">
        <v>2241</v>
      </c>
      <c r="D377" t="s">
        <v>246</v>
      </c>
      <c r="E377">
        <v>400</v>
      </c>
      <c r="F377">
        <v>26.1</v>
      </c>
      <c r="G377">
        <v>-10445</v>
      </c>
    </row>
    <row r="378" spans="1:7" x14ac:dyDescent="0.25">
      <c r="A378">
        <v>20141201</v>
      </c>
      <c r="B378" t="s">
        <v>147</v>
      </c>
      <c r="C378">
        <v>2353</v>
      </c>
      <c r="D378" t="s">
        <v>247</v>
      </c>
      <c r="E378">
        <v>300</v>
      </c>
      <c r="F378">
        <v>32</v>
      </c>
      <c r="G378">
        <v>-9605</v>
      </c>
    </row>
    <row r="379" spans="1:7" x14ac:dyDescent="0.25">
      <c r="A379">
        <v>20141201</v>
      </c>
      <c r="B379" t="s">
        <v>147</v>
      </c>
      <c r="C379">
        <v>895</v>
      </c>
      <c r="D379" t="s">
        <v>248</v>
      </c>
      <c r="E379">
        <v>300</v>
      </c>
      <c r="F379">
        <v>29.4</v>
      </c>
      <c r="G379">
        <v>-8825</v>
      </c>
    </row>
    <row r="380" spans="1:7" x14ac:dyDescent="0.25">
      <c r="A380">
        <v>20141201</v>
      </c>
      <c r="B380" t="s">
        <v>226</v>
      </c>
      <c r="C380">
        <v>540</v>
      </c>
      <c r="D380" t="s">
        <v>224</v>
      </c>
      <c r="E380">
        <v>54.77</v>
      </c>
      <c r="F380">
        <v>1</v>
      </c>
      <c r="G380">
        <v>0</v>
      </c>
    </row>
    <row r="381" spans="1:7" x14ac:dyDescent="0.25">
      <c r="A381">
        <v>20141201</v>
      </c>
      <c r="B381" t="s">
        <v>229</v>
      </c>
      <c r="C381">
        <v>540</v>
      </c>
      <c r="D381" t="s">
        <v>224</v>
      </c>
      <c r="E381">
        <v>46686</v>
      </c>
      <c r="F381">
        <v>1</v>
      </c>
      <c r="G381">
        <v>46686</v>
      </c>
    </row>
    <row r="382" spans="1:7" x14ac:dyDescent="0.25">
      <c r="A382">
        <v>20141202</v>
      </c>
      <c r="B382" t="s">
        <v>173</v>
      </c>
      <c r="C382">
        <v>755993</v>
      </c>
      <c r="D382" t="s">
        <v>191</v>
      </c>
      <c r="E382">
        <v>11700</v>
      </c>
      <c r="F382">
        <v>100</v>
      </c>
      <c r="G382">
        <v>-1170000</v>
      </c>
    </row>
    <row r="383" spans="1:7" x14ac:dyDescent="0.25">
      <c r="A383">
        <v>20141202</v>
      </c>
      <c r="B383" t="s">
        <v>249</v>
      </c>
      <c r="C383">
        <v>510330</v>
      </c>
      <c r="D383" t="s">
        <v>222</v>
      </c>
      <c r="E383">
        <v>0</v>
      </c>
      <c r="F383">
        <v>0</v>
      </c>
      <c r="G383">
        <v>40</v>
      </c>
    </row>
    <row r="384" spans="1:7" x14ac:dyDescent="0.25">
      <c r="A384">
        <v>20141202</v>
      </c>
      <c r="B384" t="s">
        <v>226</v>
      </c>
      <c r="C384">
        <v>540</v>
      </c>
      <c r="D384" t="s">
        <v>224</v>
      </c>
      <c r="E384">
        <v>104.76</v>
      </c>
      <c r="F384">
        <v>1</v>
      </c>
      <c r="G384">
        <v>0</v>
      </c>
    </row>
    <row r="385" spans="1:7" x14ac:dyDescent="0.25">
      <c r="A385">
        <v>20141202</v>
      </c>
      <c r="B385" t="s">
        <v>229</v>
      </c>
      <c r="C385">
        <v>540</v>
      </c>
      <c r="D385" t="s">
        <v>224</v>
      </c>
      <c r="E385">
        <v>1160000</v>
      </c>
      <c r="F385">
        <v>1</v>
      </c>
      <c r="G385">
        <v>1160000</v>
      </c>
    </row>
    <row r="386" spans="1:7" x14ac:dyDescent="0.25">
      <c r="A386">
        <v>20141202</v>
      </c>
      <c r="B386" t="s">
        <v>145</v>
      </c>
      <c r="E386">
        <v>0</v>
      </c>
      <c r="F386">
        <v>0</v>
      </c>
      <c r="G386">
        <v>-320000</v>
      </c>
    </row>
    <row r="387" spans="1:7" x14ac:dyDescent="0.25">
      <c r="A387">
        <v>20141202</v>
      </c>
      <c r="B387" t="s">
        <v>146</v>
      </c>
      <c r="E387">
        <v>0</v>
      </c>
      <c r="F387">
        <v>0</v>
      </c>
      <c r="G387">
        <v>320000</v>
      </c>
    </row>
    <row r="388" spans="1:7" x14ac:dyDescent="0.25">
      <c r="A388">
        <v>20141202</v>
      </c>
      <c r="B388" t="s">
        <v>173</v>
      </c>
      <c r="C388">
        <v>755993</v>
      </c>
      <c r="D388" t="s">
        <v>191</v>
      </c>
      <c r="E388">
        <v>3210</v>
      </c>
      <c r="F388">
        <v>100</v>
      </c>
      <c r="G388">
        <v>-321000</v>
      </c>
    </row>
    <row r="389" spans="1:7" x14ac:dyDescent="0.25">
      <c r="A389">
        <v>20141202</v>
      </c>
      <c r="B389" t="s">
        <v>187</v>
      </c>
      <c r="C389">
        <v>603518</v>
      </c>
      <c r="D389">
        <v>603518</v>
      </c>
      <c r="E389">
        <v>1000</v>
      </c>
      <c r="F389">
        <v>20.02</v>
      </c>
      <c r="G389">
        <v>0</v>
      </c>
    </row>
    <row r="390" spans="1:7" x14ac:dyDescent="0.25">
      <c r="A390">
        <v>20141202</v>
      </c>
      <c r="B390" t="s">
        <v>161</v>
      </c>
      <c r="C390">
        <v>510330</v>
      </c>
      <c r="D390" t="s">
        <v>222</v>
      </c>
      <c r="E390">
        <v>-2700</v>
      </c>
      <c r="F390">
        <v>0</v>
      </c>
      <c r="G390">
        <v>54</v>
      </c>
    </row>
    <row r="391" spans="1:7" x14ac:dyDescent="0.25">
      <c r="A391">
        <v>20141202</v>
      </c>
      <c r="B391" t="s">
        <v>226</v>
      </c>
      <c r="C391">
        <v>540</v>
      </c>
      <c r="D391" t="s">
        <v>224</v>
      </c>
      <c r="E391">
        <v>50.39</v>
      </c>
      <c r="F391">
        <v>1</v>
      </c>
      <c r="G391">
        <v>0</v>
      </c>
    </row>
    <row r="392" spans="1:7" x14ac:dyDescent="0.25">
      <c r="A392">
        <v>20141202</v>
      </c>
      <c r="B392" t="s">
        <v>223</v>
      </c>
      <c r="C392">
        <v>540</v>
      </c>
      <c r="D392" t="s">
        <v>224</v>
      </c>
      <c r="E392">
        <v>1</v>
      </c>
      <c r="F392">
        <v>1</v>
      </c>
      <c r="G392">
        <v>-1</v>
      </c>
    </row>
    <row r="393" spans="1:7" x14ac:dyDescent="0.25">
      <c r="A393">
        <v>20141203</v>
      </c>
      <c r="B393" t="s">
        <v>226</v>
      </c>
      <c r="C393">
        <v>540</v>
      </c>
      <c r="D393" t="s">
        <v>224</v>
      </c>
      <c r="E393">
        <v>0.05</v>
      </c>
      <c r="F393">
        <v>1</v>
      </c>
      <c r="G393">
        <v>0</v>
      </c>
    </row>
    <row r="394" spans="1:7" x14ac:dyDescent="0.25">
      <c r="A394">
        <v>20141203</v>
      </c>
      <c r="B394" t="s">
        <v>223</v>
      </c>
      <c r="C394">
        <v>540</v>
      </c>
      <c r="D394" t="s">
        <v>224</v>
      </c>
      <c r="E394">
        <v>40</v>
      </c>
      <c r="F394">
        <v>1</v>
      </c>
      <c r="G394">
        <v>-40</v>
      </c>
    </row>
    <row r="395" spans="1:7" x14ac:dyDescent="0.25">
      <c r="A395">
        <v>20141203</v>
      </c>
      <c r="B395" t="s">
        <v>226</v>
      </c>
      <c r="C395">
        <v>540</v>
      </c>
      <c r="D395" t="s">
        <v>224</v>
      </c>
      <c r="E395">
        <v>51.46</v>
      </c>
      <c r="F395">
        <v>1</v>
      </c>
      <c r="G395">
        <v>0</v>
      </c>
    </row>
    <row r="396" spans="1:7" x14ac:dyDescent="0.25">
      <c r="A396">
        <v>20141204</v>
      </c>
      <c r="B396" t="s">
        <v>176</v>
      </c>
      <c r="C396">
        <v>756993</v>
      </c>
      <c r="D396" t="s">
        <v>250</v>
      </c>
      <c r="E396">
        <v>1170</v>
      </c>
      <c r="F396">
        <v>0</v>
      </c>
      <c r="G396">
        <v>0</v>
      </c>
    </row>
    <row r="397" spans="1:7" x14ac:dyDescent="0.25">
      <c r="A397">
        <v>20141204</v>
      </c>
      <c r="B397" t="s">
        <v>226</v>
      </c>
      <c r="C397">
        <v>540</v>
      </c>
      <c r="D397" t="s">
        <v>224</v>
      </c>
      <c r="E397">
        <v>0.06</v>
      </c>
      <c r="F397">
        <v>1</v>
      </c>
      <c r="G397">
        <v>0</v>
      </c>
    </row>
    <row r="398" spans="1:7" x14ac:dyDescent="0.25">
      <c r="A398">
        <v>20141204</v>
      </c>
      <c r="B398" t="s">
        <v>176</v>
      </c>
      <c r="C398">
        <v>756993</v>
      </c>
      <c r="D398" t="s">
        <v>250</v>
      </c>
      <c r="E398">
        <v>321</v>
      </c>
      <c r="F398">
        <v>100</v>
      </c>
      <c r="G398">
        <v>0</v>
      </c>
    </row>
    <row r="399" spans="1:7" x14ac:dyDescent="0.25">
      <c r="A399">
        <v>20141204</v>
      </c>
      <c r="B399" t="s">
        <v>147</v>
      </c>
      <c r="C399">
        <v>126729</v>
      </c>
      <c r="D399" t="s">
        <v>251</v>
      </c>
      <c r="E399">
        <v>100</v>
      </c>
      <c r="F399">
        <v>116.95</v>
      </c>
      <c r="G399">
        <v>-11695.93</v>
      </c>
    </row>
    <row r="400" spans="1:7" x14ac:dyDescent="0.25">
      <c r="A400">
        <v>20141204</v>
      </c>
      <c r="B400" t="s">
        <v>226</v>
      </c>
      <c r="C400">
        <v>540</v>
      </c>
      <c r="D400" t="s">
        <v>224</v>
      </c>
      <c r="E400">
        <v>51.55</v>
      </c>
      <c r="F400">
        <v>1</v>
      </c>
      <c r="G400">
        <v>0</v>
      </c>
    </row>
    <row r="401" spans="1:7" x14ac:dyDescent="0.25">
      <c r="A401">
        <v>20141204</v>
      </c>
      <c r="B401" t="s">
        <v>229</v>
      </c>
      <c r="C401">
        <v>540</v>
      </c>
      <c r="D401" t="s">
        <v>224</v>
      </c>
      <c r="E401">
        <v>11696.13</v>
      </c>
      <c r="F401">
        <v>1</v>
      </c>
      <c r="G401">
        <v>11696.13</v>
      </c>
    </row>
    <row r="402" spans="1:7" x14ac:dyDescent="0.25">
      <c r="A402">
        <v>20141205</v>
      </c>
      <c r="B402" t="s">
        <v>177</v>
      </c>
      <c r="C402">
        <v>755993</v>
      </c>
      <c r="D402" t="s">
        <v>191</v>
      </c>
      <c r="E402">
        <v>-11700</v>
      </c>
      <c r="F402">
        <v>100</v>
      </c>
      <c r="G402">
        <v>1170000</v>
      </c>
    </row>
    <row r="403" spans="1:7" x14ac:dyDescent="0.25">
      <c r="A403">
        <v>20141205</v>
      </c>
      <c r="B403" t="s">
        <v>186</v>
      </c>
      <c r="C403">
        <v>754993</v>
      </c>
      <c r="D403" t="s">
        <v>252</v>
      </c>
      <c r="E403">
        <v>40</v>
      </c>
      <c r="F403">
        <v>100</v>
      </c>
      <c r="G403">
        <v>-4000</v>
      </c>
    </row>
    <row r="404" spans="1:7" x14ac:dyDescent="0.25">
      <c r="A404">
        <v>20141205</v>
      </c>
      <c r="B404" t="s">
        <v>219</v>
      </c>
      <c r="C404">
        <v>600028</v>
      </c>
      <c r="D404" t="s">
        <v>167</v>
      </c>
      <c r="E404">
        <v>61349</v>
      </c>
      <c r="F404">
        <v>0</v>
      </c>
      <c r="G404">
        <v>0</v>
      </c>
    </row>
    <row r="405" spans="1:7" x14ac:dyDescent="0.25">
      <c r="A405">
        <v>20141205</v>
      </c>
      <c r="B405" t="s">
        <v>219</v>
      </c>
      <c r="C405">
        <v>110015</v>
      </c>
      <c r="D405" t="s">
        <v>158</v>
      </c>
      <c r="E405">
        <v>-3000</v>
      </c>
      <c r="F405">
        <v>0</v>
      </c>
      <c r="G405">
        <v>0</v>
      </c>
    </row>
    <row r="406" spans="1:7" x14ac:dyDescent="0.25">
      <c r="A406">
        <v>20141205</v>
      </c>
      <c r="B406" t="s">
        <v>219</v>
      </c>
      <c r="C406">
        <v>190015</v>
      </c>
      <c r="D406" t="s">
        <v>253</v>
      </c>
      <c r="E406">
        <v>0</v>
      </c>
      <c r="F406">
        <v>0</v>
      </c>
      <c r="G406">
        <v>3.39</v>
      </c>
    </row>
    <row r="407" spans="1:7" x14ac:dyDescent="0.25">
      <c r="A407">
        <v>20141205</v>
      </c>
      <c r="B407" t="s">
        <v>226</v>
      </c>
      <c r="C407">
        <v>540</v>
      </c>
      <c r="D407" t="s">
        <v>224</v>
      </c>
      <c r="E407">
        <v>0.19</v>
      </c>
      <c r="F407">
        <v>1</v>
      </c>
      <c r="G407">
        <v>0</v>
      </c>
    </row>
    <row r="408" spans="1:7" x14ac:dyDescent="0.25">
      <c r="A408">
        <v>20141205</v>
      </c>
      <c r="B408" t="s">
        <v>177</v>
      </c>
      <c r="C408">
        <v>755993</v>
      </c>
      <c r="D408" t="s">
        <v>191</v>
      </c>
      <c r="E408">
        <v>-3210</v>
      </c>
      <c r="F408">
        <v>100</v>
      </c>
      <c r="G408">
        <v>321000</v>
      </c>
    </row>
    <row r="409" spans="1:7" x14ac:dyDescent="0.25">
      <c r="A409">
        <v>20141205</v>
      </c>
      <c r="B409" t="s">
        <v>186</v>
      </c>
      <c r="C409">
        <v>754993</v>
      </c>
      <c r="D409" t="s">
        <v>252</v>
      </c>
      <c r="E409">
        <v>10</v>
      </c>
      <c r="F409">
        <v>100</v>
      </c>
      <c r="G409">
        <v>-1000</v>
      </c>
    </row>
    <row r="410" spans="1:7" x14ac:dyDescent="0.25">
      <c r="A410">
        <v>20141205</v>
      </c>
      <c r="B410" t="s">
        <v>186</v>
      </c>
      <c r="C410">
        <v>754993</v>
      </c>
      <c r="D410" t="s">
        <v>252</v>
      </c>
      <c r="E410">
        <v>10</v>
      </c>
      <c r="F410">
        <v>100</v>
      </c>
      <c r="G410">
        <v>-1000</v>
      </c>
    </row>
    <row r="411" spans="1:7" x14ac:dyDescent="0.25">
      <c r="A411">
        <v>20141205</v>
      </c>
      <c r="B411" t="s">
        <v>219</v>
      </c>
      <c r="C411">
        <v>110015</v>
      </c>
      <c r="D411" t="s">
        <v>158</v>
      </c>
      <c r="E411">
        <v>-2980</v>
      </c>
      <c r="F411">
        <v>129.96</v>
      </c>
      <c r="G411">
        <v>0</v>
      </c>
    </row>
    <row r="412" spans="1:7" x14ac:dyDescent="0.25">
      <c r="A412">
        <v>20141205</v>
      </c>
      <c r="B412" t="s">
        <v>219</v>
      </c>
      <c r="C412">
        <v>600028</v>
      </c>
      <c r="D412" t="s">
        <v>167</v>
      </c>
      <c r="E412">
        <v>60940</v>
      </c>
      <c r="F412">
        <v>6.56</v>
      </c>
      <c r="G412">
        <v>0</v>
      </c>
    </row>
    <row r="413" spans="1:7" x14ac:dyDescent="0.25">
      <c r="A413">
        <v>20141205</v>
      </c>
      <c r="B413" t="s">
        <v>219</v>
      </c>
      <c r="C413">
        <v>190015</v>
      </c>
      <c r="D413" t="s">
        <v>253</v>
      </c>
      <c r="E413">
        <v>-2980</v>
      </c>
      <c r="F413">
        <v>100</v>
      </c>
      <c r="G413">
        <v>3.4</v>
      </c>
    </row>
    <row r="414" spans="1:7" x14ac:dyDescent="0.25">
      <c r="A414">
        <v>20141205</v>
      </c>
      <c r="B414" t="s">
        <v>226</v>
      </c>
      <c r="C414">
        <v>540</v>
      </c>
      <c r="D414" t="s">
        <v>224</v>
      </c>
      <c r="E414">
        <v>163.55000000000001</v>
      </c>
      <c r="F414">
        <v>1</v>
      </c>
      <c r="G414">
        <v>0</v>
      </c>
    </row>
    <row r="415" spans="1:7" x14ac:dyDescent="0.25">
      <c r="A415">
        <v>20141205</v>
      </c>
      <c r="B415" t="s">
        <v>223</v>
      </c>
      <c r="C415">
        <v>540</v>
      </c>
      <c r="D415" t="s">
        <v>224</v>
      </c>
      <c r="E415">
        <v>0.2</v>
      </c>
      <c r="F415">
        <v>1</v>
      </c>
      <c r="G415">
        <v>-0.2</v>
      </c>
    </row>
    <row r="416" spans="1:7" x14ac:dyDescent="0.25">
      <c r="A416">
        <v>20141208</v>
      </c>
      <c r="B416" t="s">
        <v>226</v>
      </c>
      <c r="C416">
        <v>540</v>
      </c>
      <c r="D416" t="s">
        <v>224</v>
      </c>
      <c r="E416">
        <v>0.09</v>
      </c>
      <c r="F416">
        <v>1</v>
      </c>
      <c r="G416">
        <v>0</v>
      </c>
    </row>
    <row r="417" spans="1:7" x14ac:dyDescent="0.25">
      <c r="A417">
        <v>20141208</v>
      </c>
      <c r="B417" t="s">
        <v>223</v>
      </c>
      <c r="C417">
        <v>540</v>
      </c>
      <c r="D417" t="s">
        <v>224</v>
      </c>
      <c r="E417">
        <v>397644.67</v>
      </c>
      <c r="F417">
        <v>1</v>
      </c>
      <c r="G417">
        <v>-397644.67</v>
      </c>
    </row>
    <row r="418" spans="1:7" x14ac:dyDescent="0.25">
      <c r="A418">
        <v>20141208</v>
      </c>
      <c r="B418" t="s">
        <v>147</v>
      </c>
      <c r="C418">
        <v>510300</v>
      </c>
      <c r="D418" t="s">
        <v>254</v>
      </c>
      <c r="E418">
        <v>1500</v>
      </c>
      <c r="F418">
        <v>3.1349999999999998</v>
      </c>
      <c r="G418">
        <v>-4707.5</v>
      </c>
    </row>
    <row r="419" spans="1:7" x14ac:dyDescent="0.25">
      <c r="A419">
        <v>20141208</v>
      </c>
      <c r="B419" t="s">
        <v>147</v>
      </c>
      <c r="C419">
        <v>110015</v>
      </c>
      <c r="D419" t="s">
        <v>158</v>
      </c>
      <c r="E419">
        <v>6000</v>
      </c>
      <c r="F419">
        <v>128.33000000000001</v>
      </c>
      <c r="G419">
        <v>-769983.85</v>
      </c>
    </row>
    <row r="420" spans="1:7" x14ac:dyDescent="0.25">
      <c r="A420">
        <v>20141208</v>
      </c>
      <c r="B420" t="s">
        <v>153</v>
      </c>
      <c r="C420">
        <v>600028</v>
      </c>
      <c r="D420" t="s">
        <v>167</v>
      </c>
      <c r="E420">
        <v>-61349</v>
      </c>
      <c r="F420">
        <v>6.5</v>
      </c>
      <c r="G420">
        <v>398233.23</v>
      </c>
    </row>
    <row r="421" spans="1:7" x14ac:dyDescent="0.25">
      <c r="A421">
        <v>20141208</v>
      </c>
      <c r="B421" t="s">
        <v>146</v>
      </c>
      <c r="E421">
        <v>0</v>
      </c>
      <c r="F421">
        <v>0</v>
      </c>
      <c r="G421">
        <v>300000</v>
      </c>
    </row>
    <row r="422" spans="1:7" x14ac:dyDescent="0.25">
      <c r="A422">
        <v>20141208</v>
      </c>
      <c r="B422" t="s">
        <v>163</v>
      </c>
      <c r="C422">
        <v>113001</v>
      </c>
      <c r="D422" t="s">
        <v>179</v>
      </c>
      <c r="E422">
        <v>5290</v>
      </c>
      <c r="F422">
        <v>105.816</v>
      </c>
      <c r="G422">
        <v>0</v>
      </c>
    </row>
    <row r="423" spans="1:7" x14ac:dyDescent="0.25">
      <c r="A423">
        <v>20141208</v>
      </c>
      <c r="B423" t="s">
        <v>146</v>
      </c>
      <c r="E423">
        <v>0</v>
      </c>
      <c r="F423">
        <v>0</v>
      </c>
      <c r="G423">
        <v>10000</v>
      </c>
    </row>
    <row r="424" spans="1:7" x14ac:dyDescent="0.25">
      <c r="A424">
        <v>20141208</v>
      </c>
      <c r="B424" t="s">
        <v>163</v>
      </c>
      <c r="C424">
        <v>113005</v>
      </c>
      <c r="D424" t="s">
        <v>159</v>
      </c>
      <c r="E424">
        <v>2500</v>
      </c>
      <c r="F424">
        <v>99.635999999999996</v>
      </c>
      <c r="G424">
        <v>0</v>
      </c>
    </row>
    <row r="425" spans="1:7" x14ac:dyDescent="0.25">
      <c r="A425">
        <v>20141208</v>
      </c>
      <c r="B425" t="s">
        <v>163</v>
      </c>
      <c r="C425">
        <v>110018</v>
      </c>
      <c r="D425" t="s">
        <v>178</v>
      </c>
      <c r="E425">
        <v>1690</v>
      </c>
      <c r="F425">
        <v>102.64700000000001</v>
      </c>
      <c r="G425">
        <v>0</v>
      </c>
    </row>
    <row r="426" spans="1:7" x14ac:dyDescent="0.25">
      <c r="A426">
        <v>20141208</v>
      </c>
      <c r="B426" t="s">
        <v>145</v>
      </c>
      <c r="E426">
        <v>0</v>
      </c>
      <c r="F426">
        <v>0</v>
      </c>
      <c r="G426">
        <v>-300000</v>
      </c>
    </row>
    <row r="427" spans="1:7" x14ac:dyDescent="0.25">
      <c r="A427">
        <v>20141208</v>
      </c>
      <c r="B427" t="s">
        <v>145</v>
      </c>
      <c r="E427">
        <v>0</v>
      </c>
      <c r="F427">
        <v>0</v>
      </c>
      <c r="G427">
        <v>-19862</v>
      </c>
    </row>
    <row r="428" spans="1:7" x14ac:dyDescent="0.25">
      <c r="A428">
        <v>20141208</v>
      </c>
      <c r="B428" t="s">
        <v>171</v>
      </c>
      <c r="E428">
        <v>0</v>
      </c>
      <c r="F428">
        <v>0</v>
      </c>
      <c r="G428">
        <v>-525141</v>
      </c>
    </row>
    <row r="429" spans="1:7" x14ac:dyDescent="0.25">
      <c r="A429">
        <v>20141208</v>
      </c>
      <c r="B429" t="s">
        <v>153</v>
      </c>
      <c r="C429">
        <v>600028</v>
      </c>
      <c r="D429" t="s">
        <v>167</v>
      </c>
      <c r="E429">
        <v>-61040</v>
      </c>
      <c r="F429">
        <v>6.25</v>
      </c>
      <c r="G429">
        <v>380929.23</v>
      </c>
    </row>
    <row r="430" spans="1:7" x14ac:dyDescent="0.25">
      <c r="A430">
        <v>20141208</v>
      </c>
      <c r="B430" t="s">
        <v>153</v>
      </c>
      <c r="C430">
        <v>510330</v>
      </c>
      <c r="D430" t="s">
        <v>222</v>
      </c>
      <c r="E430">
        <v>-2700</v>
      </c>
      <c r="F430">
        <v>3.2360000000000002</v>
      </c>
      <c r="G430">
        <v>8732.2000000000007</v>
      </c>
    </row>
    <row r="431" spans="1:7" x14ac:dyDescent="0.25">
      <c r="A431">
        <v>20141208</v>
      </c>
      <c r="B431" t="s">
        <v>153</v>
      </c>
      <c r="C431">
        <v>601088</v>
      </c>
      <c r="D431" t="s">
        <v>168</v>
      </c>
      <c r="E431">
        <v>-100</v>
      </c>
      <c r="F431">
        <v>18.63</v>
      </c>
      <c r="G431">
        <v>1856.08</v>
      </c>
    </row>
    <row r="432" spans="1:7" x14ac:dyDescent="0.25">
      <c r="A432">
        <v>20141208</v>
      </c>
      <c r="B432" t="s">
        <v>153</v>
      </c>
      <c r="C432">
        <v>601633</v>
      </c>
      <c r="D432" t="s">
        <v>166</v>
      </c>
      <c r="E432">
        <v>-100</v>
      </c>
      <c r="F432">
        <v>42.01</v>
      </c>
      <c r="G432">
        <v>4191.74</v>
      </c>
    </row>
    <row r="433" spans="1:7" x14ac:dyDescent="0.25">
      <c r="A433">
        <v>20141208</v>
      </c>
      <c r="B433" t="s">
        <v>153</v>
      </c>
      <c r="C433">
        <v>725</v>
      </c>
      <c r="D433" t="s">
        <v>152</v>
      </c>
      <c r="E433">
        <v>-100</v>
      </c>
      <c r="F433">
        <v>3.33</v>
      </c>
      <c r="G433">
        <v>327.67</v>
      </c>
    </row>
    <row r="434" spans="1:7" x14ac:dyDescent="0.25">
      <c r="A434">
        <v>20141208</v>
      </c>
      <c r="B434" t="s">
        <v>153</v>
      </c>
      <c r="C434">
        <v>651</v>
      </c>
      <c r="D434" t="s">
        <v>150</v>
      </c>
      <c r="E434">
        <v>-3600</v>
      </c>
      <c r="F434">
        <v>36.57</v>
      </c>
      <c r="G434">
        <v>131467.69</v>
      </c>
    </row>
    <row r="435" spans="1:7" x14ac:dyDescent="0.25">
      <c r="A435">
        <v>20141208</v>
      </c>
      <c r="B435" t="s">
        <v>165</v>
      </c>
      <c r="C435">
        <v>113001</v>
      </c>
      <c r="D435" t="s">
        <v>179</v>
      </c>
      <c r="E435">
        <v>-5290</v>
      </c>
      <c r="F435">
        <v>105.816</v>
      </c>
      <c r="G435">
        <v>0</v>
      </c>
    </row>
    <row r="436" spans="1:7" x14ac:dyDescent="0.25">
      <c r="A436">
        <v>20141208</v>
      </c>
      <c r="B436" t="s">
        <v>165</v>
      </c>
      <c r="C436">
        <v>113005</v>
      </c>
      <c r="D436" t="s">
        <v>159</v>
      </c>
      <c r="E436">
        <v>-2500</v>
      </c>
      <c r="F436">
        <v>99.635999999999996</v>
      </c>
      <c r="G436">
        <v>0</v>
      </c>
    </row>
    <row r="437" spans="1:7" x14ac:dyDescent="0.25">
      <c r="A437">
        <v>20141208</v>
      </c>
      <c r="B437" t="s">
        <v>165</v>
      </c>
      <c r="C437">
        <v>110018</v>
      </c>
      <c r="D437" t="s">
        <v>178</v>
      </c>
      <c r="E437">
        <v>-1690</v>
      </c>
      <c r="F437">
        <v>102.64700000000001</v>
      </c>
      <c r="G437">
        <v>0</v>
      </c>
    </row>
    <row r="438" spans="1:7" x14ac:dyDescent="0.25">
      <c r="A438">
        <v>20141208</v>
      </c>
      <c r="B438" t="s">
        <v>187</v>
      </c>
      <c r="C438">
        <v>601969</v>
      </c>
      <c r="D438">
        <v>601969</v>
      </c>
      <c r="E438">
        <v>1000</v>
      </c>
      <c r="F438">
        <v>10.34</v>
      </c>
      <c r="G438">
        <v>0</v>
      </c>
    </row>
    <row r="439" spans="1:7" x14ac:dyDescent="0.25">
      <c r="A439">
        <v>20141208</v>
      </c>
      <c r="B439" t="s">
        <v>229</v>
      </c>
      <c r="C439">
        <v>540</v>
      </c>
      <c r="D439" t="s">
        <v>224</v>
      </c>
      <c r="E439">
        <v>546856.68000000005</v>
      </c>
      <c r="F439">
        <v>1</v>
      </c>
      <c r="G439">
        <v>546933.61</v>
      </c>
    </row>
    <row r="440" spans="1:7" x14ac:dyDescent="0.25">
      <c r="A440">
        <v>20141209</v>
      </c>
      <c r="B440" t="s">
        <v>255</v>
      </c>
      <c r="C440">
        <v>161024</v>
      </c>
      <c r="D440" t="s">
        <v>256</v>
      </c>
      <c r="E440">
        <v>353978</v>
      </c>
      <c r="F440">
        <v>1.0940000000000001</v>
      </c>
      <c r="G440">
        <v>-391898.97</v>
      </c>
    </row>
    <row r="441" spans="1:7" x14ac:dyDescent="0.25">
      <c r="A441">
        <v>20141209</v>
      </c>
      <c r="B441" t="s">
        <v>226</v>
      </c>
      <c r="C441">
        <v>540</v>
      </c>
      <c r="D441" t="s">
        <v>224</v>
      </c>
      <c r="E441">
        <v>36.729999999999997</v>
      </c>
      <c r="F441">
        <v>1</v>
      </c>
      <c r="G441">
        <v>0</v>
      </c>
    </row>
    <row r="442" spans="1:7" x14ac:dyDescent="0.25">
      <c r="A442">
        <v>20141209</v>
      </c>
      <c r="B442" t="s">
        <v>223</v>
      </c>
      <c r="C442">
        <v>540</v>
      </c>
      <c r="D442" t="s">
        <v>224</v>
      </c>
      <c r="E442">
        <v>3.7</v>
      </c>
      <c r="F442">
        <v>1</v>
      </c>
      <c r="G442">
        <v>-3.7</v>
      </c>
    </row>
    <row r="443" spans="1:7" x14ac:dyDescent="0.25">
      <c r="A443">
        <v>20141209</v>
      </c>
      <c r="B443" t="s">
        <v>147</v>
      </c>
      <c r="C443">
        <v>510330</v>
      </c>
      <c r="D443" t="s">
        <v>222</v>
      </c>
      <c r="E443">
        <v>1500</v>
      </c>
      <c r="F443">
        <v>3.306</v>
      </c>
      <c r="G443">
        <v>-4964</v>
      </c>
    </row>
    <row r="444" spans="1:7" x14ac:dyDescent="0.25">
      <c r="A444">
        <v>20141209</v>
      </c>
      <c r="B444" t="s">
        <v>153</v>
      </c>
      <c r="C444">
        <v>510300</v>
      </c>
      <c r="D444" t="s">
        <v>254</v>
      </c>
      <c r="E444">
        <v>-1500</v>
      </c>
      <c r="F444">
        <v>3.3149999999999999</v>
      </c>
      <c r="G444">
        <v>4967.5</v>
      </c>
    </row>
    <row r="445" spans="1:7" x14ac:dyDescent="0.25">
      <c r="A445">
        <v>20141209</v>
      </c>
      <c r="B445" t="s">
        <v>257</v>
      </c>
      <c r="C445">
        <v>510300</v>
      </c>
      <c r="D445" t="s">
        <v>254</v>
      </c>
      <c r="E445">
        <v>-250000</v>
      </c>
      <c r="F445">
        <v>3.3130000000000002</v>
      </c>
      <c r="G445">
        <v>827715.78</v>
      </c>
    </row>
    <row r="446" spans="1:7" x14ac:dyDescent="0.25">
      <c r="A446">
        <v>20141209</v>
      </c>
      <c r="B446" t="s">
        <v>208</v>
      </c>
      <c r="E446">
        <v>0</v>
      </c>
      <c r="F446">
        <v>0</v>
      </c>
      <c r="G446">
        <v>-0.45</v>
      </c>
    </row>
    <row r="447" spans="1:7" x14ac:dyDescent="0.25">
      <c r="A447">
        <v>20141209</v>
      </c>
      <c r="B447" t="s">
        <v>208</v>
      </c>
      <c r="E447">
        <v>0</v>
      </c>
      <c r="F447">
        <v>0</v>
      </c>
      <c r="G447">
        <v>-4.55</v>
      </c>
    </row>
    <row r="448" spans="1:7" x14ac:dyDescent="0.25">
      <c r="A448">
        <v>20141209</v>
      </c>
      <c r="B448" t="s">
        <v>208</v>
      </c>
      <c r="E448">
        <v>0</v>
      </c>
      <c r="F448">
        <v>0</v>
      </c>
      <c r="G448">
        <v>-270</v>
      </c>
    </row>
    <row r="449" spans="1:7" x14ac:dyDescent="0.25">
      <c r="A449">
        <v>20141209</v>
      </c>
      <c r="B449" t="s">
        <v>172</v>
      </c>
      <c r="E449">
        <v>0</v>
      </c>
      <c r="F449">
        <v>0</v>
      </c>
      <c r="G449">
        <v>525141</v>
      </c>
    </row>
    <row r="450" spans="1:7" x14ac:dyDescent="0.25">
      <c r="A450">
        <v>20141209</v>
      </c>
      <c r="B450" t="s">
        <v>153</v>
      </c>
      <c r="C450">
        <v>895</v>
      </c>
      <c r="D450" t="s">
        <v>248</v>
      </c>
      <c r="E450">
        <v>-300</v>
      </c>
      <c r="F450">
        <v>31.48</v>
      </c>
      <c r="G450">
        <v>9429.56</v>
      </c>
    </row>
    <row r="451" spans="1:7" x14ac:dyDescent="0.25">
      <c r="A451">
        <v>20141209</v>
      </c>
      <c r="B451" t="s">
        <v>153</v>
      </c>
      <c r="C451">
        <v>300058</v>
      </c>
      <c r="D451" t="s">
        <v>245</v>
      </c>
      <c r="E451">
        <v>-400</v>
      </c>
      <c r="F451">
        <v>23.77</v>
      </c>
      <c r="G451">
        <v>9493.5</v>
      </c>
    </row>
    <row r="452" spans="1:7" x14ac:dyDescent="0.25">
      <c r="A452">
        <v>20141209</v>
      </c>
      <c r="B452" t="s">
        <v>153</v>
      </c>
      <c r="C452">
        <v>2353</v>
      </c>
      <c r="D452" t="s">
        <v>247</v>
      </c>
      <c r="E452">
        <v>-300</v>
      </c>
      <c r="F452">
        <v>32.56</v>
      </c>
      <c r="G452">
        <v>9753.23</v>
      </c>
    </row>
    <row r="453" spans="1:7" x14ac:dyDescent="0.25">
      <c r="A453">
        <v>20141209</v>
      </c>
      <c r="B453" t="s">
        <v>153</v>
      </c>
      <c r="C453">
        <v>126729</v>
      </c>
      <c r="D453" t="s">
        <v>251</v>
      </c>
      <c r="E453">
        <v>-100</v>
      </c>
      <c r="F453">
        <v>118.001</v>
      </c>
      <c r="G453">
        <v>11799.16</v>
      </c>
    </row>
    <row r="454" spans="1:7" x14ac:dyDescent="0.25">
      <c r="A454">
        <v>20141209</v>
      </c>
      <c r="B454" t="s">
        <v>153</v>
      </c>
      <c r="C454">
        <v>2038</v>
      </c>
      <c r="D454" t="s">
        <v>244</v>
      </c>
      <c r="E454">
        <v>-200</v>
      </c>
      <c r="F454">
        <v>41.17</v>
      </c>
      <c r="G454">
        <v>8220.77</v>
      </c>
    </row>
    <row r="455" spans="1:7" x14ac:dyDescent="0.25">
      <c r="A455">
        <v>20141209</v>
      </c>
      <c r="B455" t="s">
        <v>153</v>
      </c>
      <c r="C455">
        <v>2241</v>
      </c>
      <c r="D455" t="s">
        <v>246</v>
      </c>
      <c r="E455">
        <v>-400</v>
      </c>
      <c r="F455">
        <v>26.53</v>
      </c>
      <c r="G455">
        <v>10596.39</v>
      </c>
    </row>
    <row r="456" spans="1:7" x14ac:dyDescent="0.25">
      <c r="A456">
        <v>20141209</v>
      </c>
      <c r="B456" t="s">
        <v>255</v>
      </c>
      <c r="C456">
        <v>161024</v>
      </c>
      <c r="D456" t="s">
        <v>256</v>
      </c>
      <c r="E456">
        <v>494071</v>
      </c>
      <c r="F456">
        <v>1.0940000000000001</v>
      </c>
      <c r="G456">
        <v>-546999.84</v>
      </c>
    </row>
    <row r="457" spans="1:7" x14ac:dyDescent="0.25">
      <c r="A457">
        <v>20141209</v>
      </c>
      <c r="B457" t="s">
        <v>223</v>
      </c>
      <c r="C457">
        <v>540</v>
      </c>
      <c r="D457" t="s">
        <v>224</v>
      </c>
      <c r="E457">
        <v>59225.01</v>
      </c>
      <c r="F457">
        <v>1</v>
      </c>
      <c r="G457">
        <v>-59225.01</v>
      </c>
    </row>
    <row r="458" spans="1:7" x14ac:dyDescent="0.25">
      <c r="A458">
        <v>20141210</v>
      </c>
      <c r="B458" t="s">
        <v>258</v>
      </c>
      <c r="C458">
        <v>150181</v>
      </c>
      <c r="D458" t="s">
        <v>259</v>
      </c>
      <c r="E458">
        <v>176989</v>
      </c>
      <c r="F458">
        <v>0</v>
      </c>
      <c r="G458">
        <v>0</v>
      </c>
    </row>
    <row r="459" spans="1:7" x14ac:dyDescent="0.25">
      <c r="A459">
        <v>20141210</v>
      </c>
      <c r="B459" t="s">
        <v>258</v>
      </c>
      <c r="C459">
        <v>150182</v>
      </c>
      <c r="D459" t="s">
        <v>260</v>
      </c>
      <c r="E459">
        <v>176989</v>
      </c>
      <c r="F459">
        <v>0</v>
      </c>
      <c r="G459">
        <v>0</v>
      </c>
    </row>
    <row r="460" spans="1:7" x14ac:dyDescent="0.25">
      <c r="A460">
        <v>20141210</v>
      </c>
      <c r="B460" t="s">
        <v>258</v>
      </c>
      <c r="C460">
        <v>161024</v>
      </c>
      <c r="D460" t="s">
        <v>256</v>
      </c>
      <c r="E460">
        <v>-353978</v>
      </c>
      <c r="F460">
        <v>0</v>
      </c>
      <c r="G460">
        <v>0</v>
      </c>
    </row>
    <row r="461" spans="1:7" x14ac:dyDescent="0.25">
      <c r="A461">
        <v>20141210</v>
      </c>
      <c r="B461" t="s">
        <v>226</v>
      </c>
      <c r="C461">
        <v>540</v>
      </c>
      <c r="D461" t="s">
        <v>224</v>
      </c>
      <c r="E461">
        <v>3.14</v>
      </c>
      <c r="F461">
        <v>1</v>
      </c>
      <c r="G461">
        <v>0</v>
      </c>
    </row>
    <row r="462" spans="1:7" x14ac:dyDescent="0.25">
      <c r="A462">
        <v>20141210</v>
      </c>
      <c r="B462" t="s">
        <v>229</v>
      </c>
      <c r="C462">
        <v>540</v>
      </c>
      <c r="D462" t="s">
        <v>224</v>
      </c>
      <c r="E462">
        <v>392889.95</v>
      </c>
      <c r="F462">
        <v>1</v>
      </c>
      <c r="G462">
        <v>392889.95</v>
      </c>
    </row>
    <row r="463" spans="1:7" x14ac:dyDescent="0.25">
      <c r="A463">
        <v>20141210</v>
      </c>
      <c r="B463" t="s">
        <v>147</v>
      </c>
      <c r="C463">
        <v>601318</v>
      </c>
      <c r="D463" t="s">
        <v>261</v>
      </c>
      <c r="E463">
        <v>1500</v>
      </c>
      <c r="F463">
        <v>60.02</v>
      </c>
      <c r="G463">
        <v>-90053.41</v>
      </c>
    </row>
    <row r="464" spans="1:7" x14ac:dyDescent="0.25">
      <c r="A464">
        <v>20141210</v>
      </c>
      <c r="B464" t="s">
        <v>147</v>
      </c>
      <c r="C464">
        <v>600028</v>
      </c>
      <c r="D464" t="s">
        <v>167</v>
      </c>
      <c r="E464">
        <v>17500</v>
      </c>
      <c r="F464">
        <v>5.85</v>
      </c>
      <c r="G464">
        <v>-102411.09</v>
      </c>
    </row>
    <row r="465" spans="1:7" x14ac:dyDescent="0.25">
      <c r="A465">
        <v>20141210</v>
      </c>
      <c r="B465" t="s">
        <v>147</v>
      </c>
      <c r="C465">
        <v>601988</v>
      </c>
      <c r="D465" t="s">
        <v>262</v>
      </c>
      <c r="E465">
        <v>31000</v>
      </c>
      <c r="F465">
        <v>3.31</v>
      </c>
      <c r="G465">
        <v>-102654.25</v>
      </c>
    </row>
    <row r="466" spans="1:7" x14ac:dyDescent="0.25">
      <c r="A466">
        <v>20141210</v>
      </c>
      <c r="B466" t="s">
        <v>147</v>
      </c>
      <c r="C466">
        <v>600795</v>
      </c>
      <c r="D466" t="s">
        <v>220</v>
      </c>
      <c r="E466">
        <v>29000</v>
      </c>
      <c r="F466">
        <v>3.37</v>
      </c>
      <c r="G466">
        <v>-97771.83</v>
      </c>
    </row>
    <row r="467" spans="1:7" x14ac:dyDescent="0.25">
      <c r="A467">
        <v>20141210</v>
      </c>
      <c r="B467" t="s">
        <v>163</v>
      </c>
      <c r="C467">
        <v>113002</v>
      </c>
      <c r="D467" t="s">
        <v>157</v>
      </c>
      <c r="E467">
        <v>1400</v>
      </c>
      <c r="F467">
        <v>97.4</v>
      </c>
      <c r="G467">
        <v>0</v>
      </c>
    </row>
    <row r="468" spans="1:7" x14ac:dyDescent="0.25">
      <c r="A468">
        <v>20141210</v>
      </c>
      <c r="B468" t="s">
        <v>257</v>
      </c>
      <c r="C468">
        <v>510300</v>
      </c>
      <c r="D468" t="s">
        <v>254</v>
      </c>
      <c r="E468">
        <v>-130000</v>
      </c>
      <c r="F468">
        <v>3.1739999999999999</v>
      </c>
      <c r="G468">
        <v>412353.86</v>
      </c>
    </row>
    <row r="469" spans="1:7" x14ac:dyDescent="0.25">
      <c r="A469">
        <v>20141210</v>
      </c>
      <c r="B469" t="s">
        <v>172</v>
      </c>
      <c r="E469">
        <v>0</v>
      </c>
      <c r="F469">
        <v>0</v>
      </c>
      <c r="G469">
        <v>79.98</v>
      </c>
    </row>
    <row r="470" spans="1:7" x14ac:dyDescent="0.25">
      <c r="A470">
        <v>20141210</v>
      </c>
      <c r="B470" t="s">
        <v>153</v>
      </c>
      <c r="C470">
        <v>600019</v>
      </c>
      <c r="D470" t="s">
        <v>169</v>
      </c>
      <c r="E470">
        <v>-20100</v>
      </c>
      <c r="F470">
        <v>5.9</v>
      </c>
      <c r="G470">
        <v>118411.91</v>
      </c>
    </row>
    <row r="471" spans="1:7" x14ac:dyDescent="0.25">
      <c r="A471">
        <v>20141210</v>
      </c>
      <c r="B471" t="s">
        <v>153</v>
      </c>
      <c r="C471">
        <v>600036</v>
      </c>
      <c r="D471" t="s">
        <v>151</v>
      </c>
      <c r="E471">
        <v>-10000</v>
      </c>
      <c r="F471">
        <v>13.16</v>
      </c>
      <c r="G471">
        <v>131409.76</v>
      </c>
    </row>
    <row r="472" spans="1:7" x14ac:dyDescent="0.25">
      <c r="A472">
        <v>20141210</v>
      </c>
      <c r="B472" t="s">
        <v>153</v>
      </c>
      <c r="C472">
        <v>601989</v>
      </c>
      <c r="D472" t="s">
        <v>154</v>
      </c>
      <c r="E472">
        <v>-20300</v>
      </c>
      <c r="F472">
        <v>7.9</v>
      </c>
      <c r="G472">
        <v>160133.29999999999</v>
      </c>
    </row>
    <row r="473" spans="1:7" x14ac:dyDescent="0.25">
      <c r="A473">
        <v>20141210</v>
      </c>
      <c r="B473" t="s">
        <v>153</v>
      </c>
      <c r="C473">
        <v>603518</v>
      </c>
      <c r="D473" t="s">
        <v>263</v>
      </c>
      <c r="E473">
        <v>-1000</v>
      </c>
      <c r="F473">
        <v>40.11</v>
      </c>
      <c r="G473">
        <v>40053.25</v>
      </c>
    </row>
    <row r="474" spans="1:7" x14ac:dyDescent="0.25">
      <c r="A474">
        <v>20141210</v>
      </c>
      <c r="B474" t="s">
        <v>153</v>
      </c>
      <c r="C474">
        <v>2</v>
      </c>
      <c r="D474" t="s">
        <v>170</v>
      </c>
      <c r="E474">
        <v>-4100</v>
      </c>
      <c r="F474">
        <v>11.58</v>
      </c>
      <c r="G474">
        <v>47411.53</v>
      </c>
    </row>
    <row r="475" spans="1:7" x14ac:dyDescent="0.25">
      <c r="A475">
        <v>20141210</v>
      </c>
      <c r="B475" t="s">
        <v>153</v>
      </c>
      <c r="C475">
        <v>300408</v>
      </c>
      <c r="D475" t="s">
        <v>237</v>
      </c>
      <c r="E475">
        <v>-500</v>
      </c>
      <c r="F475">
        <v>60.76</v>
      </c>
      <c r="G475">
        <v>30337.47</v>
      </c>
    </row>
    <row r="476" spans="1:7" x14ac:dyDescent="0.25">
      <c r="A476">
        <v>20141210</v>
      </c>
      <c r="B476" t="s">
        <v>165</v>
      </c>
      <c r="C476">
        <v>113002</v>
      </c>
      <c r="D476" t="s">
        <v>157</v>
      </c>
      <c r="E476">
        <v>-1400</v>
      </c>
      <c r="F476">
        <v>97.4</v>
      </c>
      <c r="G476">
        <v>0</v>
      </c>
    </row>
    <row r="477" spans="1:7" x14ac:dyDescent="0.25">
      <c r="A477">
        <v>20141210</v>
      </c>
      <c r="B477" t="s">
        <v>187</v>
      </c>
      <c r="C477">
        <v>601226</v>
      </c>
      <c r="D477">
        <v>601226</v>
      </c>
      <c r="E477">
        <v>1000</v>
      </c>
      <c r="F477">
        <v>10</v>
      </c>
      <c r="G477">
        <v>0</v>
      </c>
    </row>
    <row r="478" spans="1:7" x14ac:dyDescent="0.25">
      <c r="A478">
        <v>20141210</v>
      </c>
      <c r="B478" t="s">
        <v>258</v>
      </c>
      <c r="C478">
        <v>161024</v>
      </c>
      <c r="D478" t="s">
        <v>256</v>
      </c>
      <c r="E478">
        <v>-500000</v>
      </c>
      <c r="F478">
        <v>1.0329999999999999</v>
      </c>
      <c r="G478">
        <v>0</v>
      </c>
    </row>
    <row r="479" spans="1:7" x14ac:dyDescent="0.25">
      <c r="A479">
        <v>20141210</v>
      </c>
      <c r="B479" t="s">
        <v>258</v>
      </c>
      <c r="C479">
        <v>150181</v>
      </c>
      <c r="D479" t="s">
        <v>259</v>
      </c>
      <c r="E479">
        <v>250000</v>
      </c>
      <c r="F479">
        <v>1.01</v>
      </c>
      <c r="G479">
        <v>0</v>
      </c>
    </row>
    <row r="480" spans="1:7" x14ac:dyDescent="0.25">
      <c r="A480">
        <v>20141210</v>
      </c>
      <c r="B480" t="s">
        <v>258</v>
      </c>
      <c r="C480">
        <v>150182</v>
      </c>
      <c r="D480" t="s">
        <v>260</v>
      </c>
      <c r="E480">
        <v>250000</v>
      </c>
      <c r="F480">
        <v>1.056</v>
      </c>
      <c r="G480">
        <v>0</v>
      </c>
    </row>
    <row r="481" spans="1:7" x14ac:dyDescent="0.25">
      <c r="A481">
        <v>20141210</v>
      </c>
      <c r="B481" t="s">
        <v>258</v>
      </c>
      <c r="C481">
        <v>161024</v>
      </c>
      <c r="D481" t="s">
        <v>256</v>
      </c>
      <c r="E481">
        <v>-4000</v>
      </c>
      <c r="F481">
        <v>1.0329999999999999</v>
      </c>
      <c r="G481">
        <v>0</v>
      </c>
    </row>
    <row r="482" spans="1:7" x14ac:dyDescent="0.25">
      <c r="A482">
        <v>20141210</v>
      </c>
      <c r="B482" t="s">
        <v>258</v>
      </c>
      <c r="C482">
        <v>150181</v>
      </c>
      <c r="D482" t="s">
        <v>259</v>
      </c>
      <c r="E482">
        <v>2000</v>
      </c>
      <c r="F482">
        <v>1.01</v>
      </c>
      <c r="G482">
        <v>0</v>
      </c>
    </row>
    <row r="483" spans="1:7" x14ac:dyDescent="0.25">
      <c r="A483">
        <v>20141210</v>
      </c>
      <c r="B483" t="s">
        <v>258</v>
      </c>
      <c r="C483">
        <v>150182</v>
      </c>
      <c r="D483" t="s">
        <v>260</v>
      </c>
      <c r="E483">
        <v>2000</v>
      </c>
      <c r="F483">
        <v>1.056</v>
      </c>
      <c r="G483">
        <v>0</v>
      </c>
    </row>
    <row r="484" spans="1:7" x14ac:dyDescent="0.25">
      <c r="A484">
        <v>20141210</v>
      </c>
      <c r="B484" t="s">
        <v>258</v>
      </c>
      <c r="C484">
        <v>161024</v>
      </c>
      <c r="D484" t="s">
        <v>256</v>
      </c>
      <c r="E484">
        <v>-110</v>
      </c>
      <c r="F484">
        <v>1.0329999999999999</v>
      </c>
      <c r="G484">
        <v>0</v>
      </c>
    </row>
    <row r="485" spans="1:7" x14ac:dyDescent="0.25">
      <c r="A485">
        <v>20141210</v>
      </c>
      <c r="B485" t="s">
        <v>258</v>
      </c>
      <c r="C485">
        <v>150181</v>
      </c>
      <c r="D485" t="s">
        <v>259</v>
      </c>
      <c r="E485">
        <v>55</v>
      </c>
      <c r="F485">
        <v>1.01</v>
      </c>
      <c r="G485">
        <v>0</v>
      </c>
    </row>
    <row r="486" spans="1:7" x14ac:dyDescent="0.25">
      <c r="A486">
        <v>20141210</v>
      </c>
      <c r="B486" t="s">
        <v>258</v>
      </c>
      <c r="C486">
        <v>150182</v>
      </c>
      <c r="D486" t="s">
        <v>260</v>
      </c>
      <c r="E486">
        <v>55</v>
      </c>
      <c r="F486">
        <v>1.056</v>
      </c>
      <c r="G486">
        <v>0</v>
      </c>
    </row>
    <row r="487" spans="1:7" x14ac:dyDescent="0.25">
      <c r="A487">
        <v>20141210</v>
      </c>
      <c r="B487" t="s">
        <v>255</v>
      </c>
      <c r="C487">
        <v>161024</v>
      </c>
      <c r="D487" t="s">
        <v>256</v>
      </c>
      <c r="E487">
        <v>504115</v>
      </c>
      <c r="F487">
        <v>1.0329999999999999</v>
      </c>
      <c r="G487">
        <v>-526999.81000000006</v>
      </c>
    </row>
    <row r="488" spans="1:7" x14ac:dyDescent="0.25">
      <c r="A488">
        <v>20141210</v>
      </c>
      <c r="B488" t="s">
        <v>258</v>
      </c>
      <c r="C488">
        <v>150181</v>
      </c>
      <c r="D488" t="s">
        <v>259</v>
      </c>
      <c r="E488">
        <v>247035</v>
      </c>
      <c r="F488">
        <v>0</v>
      </c>
      <c r="G488">
        <v>0</v>
      </c>
    </row>
    <row r="489" spans="1:7" x14ac:dyDescent="0.25">
      <c r="A489">
        <v>20141210</v>
      </c>
      <c r="B489" t="s">
        <v>258</v>
      </c>
      <c r="C489">
        <v>150182</v>
      </c>
      <c r="D489" t="s">
        <v>260</v>
      </c>
      <c r="E489">
        <v>247035</v>
      </c>
      <c r="F489">
        <v>0</v>
      </c>
      <c r="G489">
        <v>0</v>
      </c>
    </row>
    <row r="490" spans="1:7" x14ac:dyDescent="0.25">
      <c r="A490">
        <v>20141210</v>
      </c>
      <c r="B490" t="s">
        <v>258</v>
      </c>
      <c r="C490">
        <v>161024</v>
      </c>
      <c r="D490" t="s">
        <v>256</v>
      </c>
      <c r="E490">
        <v>-494070</v>
      </c>
      <c r="F490">
        <v>0</v>
      </c>
      <c r="G490">
        <v>0</v>
      </c>
    </row>
    <row r="491" spans="1:7" x14ac:dyDescent="0.25">
      <c r="A491">
        <v>20141210</v>
      </c>
      <c r="B491" t="s">
        <v>226</v>
      </c>
      <c r="C491">
        <v>540</v>
      </c>
      <c r="D491" t="s">
        <v>224</v>
      </c>
      <c r="E491">
        <v>0.46</v>
      </c>
      <c r="F491">
        <v>1</v>
      </c>
      <c r="G491">
        <v>0</v>
      </c>
    </row>
    <row r="492" spans="1:7" x14ac:dyDescent="0.25">
      <c r="A492">
        <v>20141210</v>
      </c>
      <c r="B492" t="s">
        <v>229</v>
      </c>
      <c r="C492">
        <v>540</v>
      </c>
      <c r="D492" t="s">
        <v>224</v>
      </c>
      <c r="E492">
        <v>58998.63</v>
      </c>
      <c r="F492">
        <v>1</v>
      </c>
      <c r="G492">
        <v>58998.63</v>
      </c>
    </row>
    <row r="493" spans="1:7" x14ac:dyDescent="0.25">
      <c r="A493">
        <v>20141211</v>
      </c>
      <c r="B493" t="s">
        <v>153</v>
      </c>
      <c r="C493">
        <v>150182</v>
      </c>
      <c r="D493" t="s">
        <v>260</v>
      </c>
      <c r="E493">
        <v>-176989</v>
      </c>
      <c r="F493">
        <v>1.456</v>
      </c>
      <c r="G493">
        <v>257631.56</v>
      </c>
    </row>
    <row r="494" spans="1:7" x14ac:dyDescent="0.25">
      <c r="A494">
        <v>20141211</v>
      </c>
      <c r="B494" t="s">
        <v>153</v>
      </c>
      <c r="C494">
        <v>150181</v>
      </c>
      <c r="D494" t="s">
        <v>259</v>
      </c>
      <c r="E494">
        <v>-176989</v>
      </c>
      <c r="F494">
        <v>0.80900000000000005</v>
      </c>
      <c r="G494">
        <v>143148.29999999999</v>
      </c>
    </row>
    <row r="495" spans="1:7" x14ac:dyDescent="0.25">
      <c r="A495">
        <v>20141211</v>
      </c>
      <c r="B495" t="s">
        <v>226</v>
      </c>
      <c r="C495">
        <v>540</v>
      </c>
      <c r="D495" t="s">
        <v>224</v>
      </c>
      <c r="E495">
        <v>1.42</v>
      </c>
      <c r="F495">
        <v>1</v>
      </c>
      <c r="G495">
        <v>0</v>
      </c>
    </row>
    <row r="496" spans="1:7" x14ac:dyDescent="0.25">
      <c r="A496">
        <v>20141211</v>
      </c>
      <c r="B496" t="s">
        <v>223</v>
      </c>
      <c r="C496">
        <v>540</v>
      </c>
      <c r="D496" t="s">
        <v>224</v>
      </c>
      <c r="E496">
        <v>400780.26</v>
      </c>
      <c r="F496">
        <v>1</v>
      </c>
      <c r="G496">
        <v>-400780.26</v>
      </c>
    </row>
    <row r="497" spans="1:7" x14ac:dyDescent="0.25">
      <c r="A497">
        <v>20141211</v>
      </c>
      <c r="B497" t="s">
        <v>264</v>
      </c>
      <c r="C497">
        <v>510300</v>
      </c>
      <c r="D497" t="s">
        <v>254</v>
      </c>
      <c r="E497">
        <v>100000</v>
      </c>
      <c r="F497">
        <v>3.2130000000000001</v>
      </c>
      <c r="G497">
        <v>-321485.13</v>
      </c>
    </row>
    <row r="498" spans="1:7" x14ac:dyDescent="0.25">
      <c r="A498">
        <v>20141211</v>
      </c>
      <c r="B498" t="s">
        <v>265</v>
      </c>
      <c r="E498">
        <v>0</v>
      </c>
      <c r="F498">
        <v>0</v>
      </c>
      <c r="G498">
        <v>-98.57</v>
      </c>
    </row>
    <row r="499" spans="1:7" x14ac:dyDescent="0.25">
      <c r="A499">
        <v>20141211</v>
      </c>
      <c r="B499" t="s">
        <v>264</v>
      </c>
      <c r="C499">
        <v>510300</v>
      </c>
      <c r="D499" t="s">
        <v>254</v>
      </c>
      <c r="E499">
        <v>280000</v>
      </c>
      <c r="F499">
        <v>3.2320000000000002</v>
      </c>
      <c r="G499">
        <v>-905543.7</v>
      </c>
    </row>
    <row r="500" spans="1:7" x14ac:dyDescent="0.25">
      <c r="A500">
        <v>20141211</v>
      </c>
      <c r="B500" t="s">
        <v>265</v>
      </c>
      <c r="E500">
        <v>0</v>
      </c>
      <c r="F500">
        <v>0</v>
      </c>
      <c r="G500">
        <v>-395.72</v>
      </c>
    </row>
    <row r="501" spans="1:7" x14ac:dyDescent="0.25">
      <c r="A501">
        <v>20141211</v>
      </c>
      <c r="B501" t="s">
        <v>208</v>
      </c>
      <c r="E501">
        <v>0</v>
      </c>
      <c r="F501">
        <v>0</v>
      </c>
      <c r="G501">
        <v>-0.5</v>
      </c>
    </row>
    <row r="502" spans="1:7" x14ac:dyDescent="0.25">
      <c r="A502">
        <v>20141211</v>
      </c>
      <c r="B502" t="s">
        <v>208</v>
      </c>
      <c r="E502">
        <v>0</v>
      </c>
      <c r="F502">
        <v>0</v>
      </c>
      <c r="G502">
        <v>-0.69</v>
      </c>
    </row>
    <row r="503" spans="1:7" x14ac:dyDescent="0.25">
      <c r="A503">
        <v>20141211</v>
      </c>
      <c r="B503" t="s">
        <v>153</v>
      </c>
      <c r="C503">
        <v>150181</v>
      </c>
      <c r="D503" t="s">
        <v>259</v>
      </c>
      <c r="E503">
        <v>-252055</v>
      </c>
      <c r="F503">
        <v>0.81299999999999994</v>
      </c>
      <c r="G503">
        <v>204838.75</v>
      </c>
    </row>
    <row r="504" spans="1:7" x14ac:dyDescent="0.25">
      <c r="A504">
        <v>20141211</v>
      </c>
      <c r="B504" t="s">
        <v>258</v>
      </c>
      <c r="C504">
        <v>163111</v>
      </c>
      <c r="D504" t="s">
        <v>266</v>
      </c>
      <c r="E504">
        <v>-350000</v>
      </c>
      <c r="F504">
        <v>1.103</v>
      </c>
      <c r="G504">
        <v>0</v>
      </c>
    </row>
    <row r="505" spans="1:7" x14ac:dyDescent="0.25">
      <c r="A505">
        <v>20141211</v>
      </c>
      <c r="B505" t="s">
        <v>258</v>
      </c>
      <c r="C505">
        <v>150085</v>
      </c>
      <c r="D505" t="s">
        <v>267</v>
      </c>
      <c r="E505">
        <v>175000</v>
      </c>
      <c r="F505">
        <v>1.0389999999999999</v>
      </c>
      <c r="G505">
        <v>0</v>
      </c>
    </row>
    <row r="506" spans="1:7" x14ac:dyDescent="0.25">
      <c r="A506">
        <v>20141211</v>
      </c>
      <c r="B506" t="s">
        <v>258</v>
      </c>
      <c r="C506">
        <v>150086</v>
      </c>
      <c r="D506" t="s">
        <v>268</v>
      </c>
      <c r="E506">
        <v>175000</v>
      </c>
      <c r="F506">
        <v>1.1659999999999999</v>
      </c>
      <c r="G506">
        <v>0</v>
      </c>
    </row>
    <row r="507" spans="1:7" x14ac:dyDescent="0.25">
      <c r="A507">
        <v>20141211</v>
      </c>
      <c r="B507" t="s">
        <v>258</v>
      </c>
      <c r="C507">
        <v>163111</v>
      </c>
      <c r="D507" t="s">
        <v>266</v>
      </c>
      <c r="E507">
        <v>-8500</v>
      </c>
      <c r="F507">
        <v>1.103</v>
      </c>
      <c r="G507">
        <v>0</v>
      </c>
    </row>
    <row r="508" spans="1:7" x14ac:dyDescent="0.25">
      <c r="A508">
        <v>20141211</v>
      </c>
      <c r="B508" t="s">
        <v>258</v>
      </c>
      <c r="C508">
        <v>150085</v>
      </c>
      <c r="D508" t="s">
        <v>267</v>
      </c>
      <c r="E508">
        <v>4250</v>
      </c>
      <c r="F508">
        <v>1.0389999999999999</v>
      </c>
      <c r="G508">
        <v>0</v>
      </c>
    </row>
    <row r="509" spans="1:7" x14ac:dyDescent="0.25">
      <c r="A509">
        <v>20141211</v>
      </c>
      <c r="B509" t="s">
        <v>258</v>
      </c>
      <c r="C509">
        <v>150086</v>
      </c>
      <c r="D509" t="s">
        <v>268</v>
      </c>
      <c r="E509">
        <v>4250</v>
      </c>
      <c r="F509">
        <v>1.1659999999999999</v>
      </c>
      <c r="G509">
        <v>0</v>
      </c>
    </row>
    <row r="510" spans="1:7" x14ac:dyDescent="0.25">
      <c r="A510">
        <v>20141211</v>
      </c>
      <c r="B510" t="s">
        <v>255</v>
      </c>
      <c r="C510">
        <v>163111</v>
      </c>
      <c r="D510" t="s">
        <v>266</v>
      </c>
      <c r="E510">
        <v>358509</v>
      </c>
      <c r="F510">
        <v>1.103</v>
      </c>
      <c r="G510">
        <v>-399999.25</v>
      </c>
    </row>
    <row r="511" spans="1:7" x14ac:dyDescent="0.25">
      <c r="A511">
        <v>20141211</v>
      </c>
      <c r="B511" t="s">
        <v>153</v>
      </c>
      <c r="C511">
        <v>150182</v>
      </c>
      <c r="D511" t="s">
        <v>260</v>
      </c>
      <c r="E511">
        <v>-247035</v>
      </c>
      <c r="F511">
        <v>1.456</v>
      </c>
      <c r="G511">
        <v>359611.02</v>
      </c>
    </row>
    <row r="512" spans="1:7" x14ac:dyDescent="0.25">
      <c r="A512">
        <v>20141211</v>
      </c>
      <c r="B512" t="s">
        <v>153</v>
      </c>
      <c r="C512">
        <v>150181</v>
      </c>
      <c r="D512" t="s">
        <v>259</v>
      </c>
      <c r="E512">
        <v>-247035</v>
      </c>
      <c r="F512">
        <v>0.81</v>
      </c>
      <c r="G512">
        <v>200058.33</v>
      </c>
    </row>
    <row r="513" spans="1:7" x14ac:dyDescent="0.25">
      <c r="A513">
        <v>20141211</v>
      </c>
      <c r="B513" t="s">
        <v>255</v>
      </c>
      <c r="C513">
        <v>165310</v>
      </c>
      <c r="D513" t="s">
        <v>269</v>
      </c>
      <c r="E513">
        <v>50283</v>
      </c>
      <c r="F513">
        <v>1.1559999999999999</v>
      </c>
      <c r="G513">
        <v>-58999.07</v>
      </c>
    </row>
    <row r="514" spans="1:7" x14ac:dyDescent="0.25">
      <c r="A514">
        <v>20141211</v>
      </c>
      <c r="B514" t="s">
        <v>226</v>
      </c>
      <c r="C514">
        <v>540</v>
      </c>
      <c r="D514" t="s">
        <v>224</v>
      </c>
      <c r="E514">
        <v>0.05</v>
      </c>
      <c r="F514">
        <v>1</v>
      </c>
      <c r="G514">
        <v>0</v>
      </c>
    </row>
    <row r="515" spans="1:7" x14ac:dyDescent="0.25">
      <c r="A515">
        <v>20141211</v>
      </c>
      <c r="B515" t="s">
        <v>223</v>
      </c>
      <c r="C515">
        <v>540</v>
      </c>
      <c r="D515" t="s">
        <v>224</v>
      </c>
      <c r="E515">
        <v>559668.94999999995</v>
      </c>
      <c r="F515">
        <v>1</v>
      </c>
      <c r="G515">
        <v>-559668.94999999995</v>
      </c>
    </row>
    <row r="516" spans="1:7" x14ac:dyDescent="0.25">
      <c r="A516">
        <v>20141212</v>
      </c>
      <c r="B516" t="s">
        <v>226</v>
      </c>
      <c r="C516">
        <v>540</v>
      </c>
      <c r="D516" t="s">
        <v>224</v>
      </c>
      <c r="E516">
        <v>134.26</v>
      </c>
      <c r="F516">
        <v>1</v>
      </c>
      <c r="G516">
        <v>0</v>
      </c>
    </row>
    <row r="517" spans="1:7" x14ac:dyDescent="0.25">
      <c r="A517">
        <v>20141212</v>
      </c>
      <c r="B517" t="s">
        <v>229</v>
      </c>
      <c r="C517">
        <v>540</v>
      </c>
      <c r="D517" t="s">
        <v>224</v>
      </c>
      <c r="E517">
        <v>406166.32</v>
      </c>
      <c r="F517">
        <v>1</v>
      </c>
      <c r="G517">
        <v>406166.32</v>
      </c>
    </row>
    <row r="518" spans="1:7" x14ac:dyDescent="0.25">
      <c r="A518">
        <v>20141212</v>
      </c>
      <c r="B518" t="s">
        <v>145</v>
      </c>
      <c r="E518">
        <v>0</v>
      </c>
      <c r="F518">
        <v>0</v>
      </c>
      <c r="G518">
        <v>-320000</v>
      </c>
    </row>
    <row r="519" spans="1:7" x14ac:dyDescent="0.25">
      <c r="A519">
        <v>20141212</v>
      </c>
      <c r="B519" t="s">
        <v>153</v>
      </c>
      <c r="C519">
        <v>150182</v>
      </c>
      <c r="D519" t="s">
        <v>260</v>
      </c>
      <c r="E519">
        <v>-252055</v>
      </c>
      <c r="F519">
        <v>1.36</v>
      </c>
      <c r="G519">
        <v>342657.68</v>
      </c>
    </row>
    <row r="520" spans="1:7" x14ac:dyDescent="0.25">
      <c r="A520">
        <v>20141212</v>
      </c>
      <c r="B520" t="s">
        <v>153</v>
      </c>
      <c r="C520">
        <v>150086</v>
      </c>
      <c r="D520" t="s">
        <v>268</v>
      </c>
      <c r="E520">
        <v>-179250</v>
      </c>
      <c r="F520">
        <v>1.252</v>
      </c>
      <c r="G520">
        <v>224331.23</v>
      </c>
    </row>
    <row r="521" spans="1:7" x14ac:dyDescent="0.25">
      <c r="A521">
        <v>20141212</v>
      </c>
      <c r="B521" t="s">
        <v>153</v>
      </c>
      <c r="C521">
        <v>150085</v>
      </c>
      <c r="D521" t="s">
        <v>267</v>
      </c>
      <c r="E521">
        <v>-179250</v>
      </c>
      <c r="F521">
        <v>1.0049999999999999</v>
      </c>
      <c r="G521">
        <v>180074.19</v>
      </c>
    </row>
    <row r="522" spans="1:7" x14ac:dyDescent="0.25">
      <c r="A522">
        <v>20141212</v>
      </c>
      <c r="B522" t="s">
        <v>258</v>
      </c>
      <c r="C522">
        <v>150036</v>
      </c>
      <c r="D522" t="s">
        <v>270</v>
      </c>
      <c r="E522">
        <v>20112</v>
      </c>
      <c r="F522">
        <v>0</v>
      </c>
      <c r="G522">
        <v>0</v>
      </c>
    </row>
    <row r="523" spans="1:7" x14ac:dyDescent="0.25">
      <c r="A523">
        <v>20141212</v>
      </c>
      <c r="B523" t="s">
        <v>258</v>
      </c>
      <c r="C523">
        <v>150037</v>
      </c>
      <c r="D523" t="s">
        <v>271</v>
      </c>
      <c r="E523">
        <v>30168</v>
      </c>
      <c r="F523">
        <v>0</v>
      </c>
      <c r="G523">
        <v>0</v>
      </c>
    </row>
    <row r="524" spans="1:7" x14ac:dyDescent="0.25">
      <c r="A524">
        <v>20141212</v>
      </c>
      <c r="B524" t="s">
        <v>258</v>
      </c>
      <c r="C524">
        <v>165310</v>
      </c>
      <c r="D524" t="s">
        <v>269</v>
      </c>
      <c r="E524">
        <v>-50280</v>
      </c>
      <c r="F524">
        <v>0</v>
      </c>
      <c r="G524">
        <v>0</v>
      </c>
    </row>
    <row r="525" spans="1:7" x14ac:dyDescent="0.25">
      <c r="A525">
        <v>20141212</v>
      </c>
      <c r="B525" t="s">
        <v>229</v>
      </c>
      <c r="C525">
        <v>540</v>
      </c>
      <c r="D525" t="s">
        <v>224</v>
      </c>
      <c r="E525">
        <v>559895.84</v>
      </c>
      <c r="F525">
        <v>1</v>
      </c>
      <c r="G525">
        <v>560080.88</v>
      </c>
    </row>
    <row r="526" spans="1:7" x14ac:dyDescent="0.25">
      <c r="A526">
        <v>20141215</v>
      </c>
      <c r="B526" t="s">
        <v>147</v>
      </c>
      <c r="C526">
        <v>150200</v>
      </c>
      <c r="D526" t="s">
        <v>272</v>
      </c>
      <c r="E526">
        <v>488100</v>
      </c>
      <c r="F526">
        <v>0.83</v>
      </c>
      <c r="G526">
        <v>-405224.28</v>
      </c>
    </row>
    <row r="527" spans="1:7" x14ac:dyDescent="0.25">
      <c r="A527">
        <v>20141215</v>
      </c>
      <c r="B527" t="s">
        <v>226</v>
      </c>
      <c r="C527">
        <v>540</v>
      </c>
      <c r="D527" t="s">
        <v>224</v>
      </c>
      <c r="E527">
        <v>0.02</v>
      </c>
      <c r="F527">
        <v>1</v>
      </c>
      <c r="G527">
        <v>0</v>
      </c>
    </row>
    <row r="528" spans="1:7" x14ac:dyDescent="0.25">
      <c r="A528">
        <v>20141215</v>
      </c>
      <c r="B528" t="s">
        <v>223</v>
      </c>
      <c r="C528">
        <v>540</v>
      </c>
      <c r="D528" t="s">
        <v>224</v>
      </c>
      <c r="E528">
        <v>359697.1</v>
      </c>
      <c r="F528">
        <v>1</v>
      </c>
      <c r="G528">
        <v>-359697.1</v>
      </c>
    </row>
    <row r="529" spans="1:7" x14ac:dyDescent="0.25">
      <c r="A529">
        <v>20141215</v>
      </c>
      <c r="B529" t="s">
        <v>153</v>
      </c>
      <c r="C529">
        <v>601318</v>
      </c>
      <c r="D529" t="s">
        <v>261</v>
      </c>
      <c r="E529">
        <v>-1500</v>
      </c>
      <c r="F529">
        <v>57.18</v>
      </c>
      <c r="G529">
        <v>85661.89</v>
      </c>
    </row>
    <row r="530" spans="1:7" x14ac:dyDescent="0.25">
      <c r="A530">
        <v>20141215</v>
      </c>
      <c r="B530" t="s">
        <v>153</v>
      </c>
      <c r="C530">
        <v>601088</v>
      </c>
      <c r="D530" t="s">
        <v>168</v>
      </c>
      <c r="E530">
        <v>-10000</v>
      </c>
      <c r="F530">
        <v>17.239999999999998</v>
      </c>
      <c r="G530">
        <v>172178.51</v>
      </c>
    </row>
    <row r="531" spans="1:7" x14ac:dyDescent="0.25">
      <c r="A531">
        <v>20141215</v>
      </c>
      <c r="B531" t="s">
        <v>153</v>
      </c>
      <c r="C531">
        <v>601988</v>
      </c>
      <c r="D531" t="s">
        <v>262</v>
      </c>
      <c r="E531">
        <v>-31000</v>
      </c>
      <c r="F531">
        <v>3.26</v>
      </c>
      <c r="G531">
        <v>100915.07</v>
      </c>
    </row>
    <row r="532" spans="1:7" x14ac:dyDescent="0.25">
      <c r="A532">
        <v>20141215</v>
      </c>
      <c r="B532" t="s">
        <v>273</v>
      </c>
      <c r="C532">
        <v>113501</v>
      </c>
      <c r="D532">
        <v>113501</v>
      </c>
      <c r="E532">
        <v>40</v>
      </c>
      <c r="F532">
        <v>100</v>
      </c>
      <c r="G532">
        <v>0</v>
      </c>
    </row>
    <row r="533" spans="1:7" x14ac:dyDescent="0.25">
      <c r="A533">
        <v>20141215</v>
      </c>
      <c r="B533" t="s">
        <v>257</v>
      </c>
      <c r="C533">
        <v>510300</v>
      </c>
      <c r="D533" t="s">
        <v>254</v>
      </c>
      <c r="E533">
        <v>-4000</v>
      </c>
      <c r="F533">
        <v>3.1880000000000002</v>
      </c>
      <c r="G533">
        <v>12743.78</v>
      </c>
    </row>
    <row r="534" spans="1:7" x14ac:dyDescent="0.25">
      <c r="A534">
        <v>20141215</v>
      </c>
      <c r="B534" t="s">
        <v>146</v>
      </c>
      <c r="E534">
        <v>0</v>
      </c>
      <c r="F534">
        <v>0</v>
      </c>
      <c r="G534">
        <v>862650</v>
      </c>
    </row>
    <row r="535" spans="1:7" x14ac:dyDescent="0.25">
      <c r="A535">
        <v>20141215</v>
      </c>
      <c r="B535" t="s">
        <v>153</v>
      </c>
      <c r="C535">
        <v>601969</v>
      </c>
      <c r="D535" t="s">
        <v>274</v>
      </c>
      <c r="E535">
        <v>-1000</v>
      </c>
      <c r="F535">
        <v>20.25</v>
      </c>
      <c r="G535">
        <v>20221.05</v>
      </c>
    </row>
    <row r="536" spans="1:7" x14ac:dyDescent="0.25">
      <c r="A536">
        <v>20141215</v>
      </c>
      <c r="B536" t="s">
        <v>147</v>
      </c>
      <c r="C536">
        <v>601988</v>
      </c>
      <c r="D536" t="s">
        <v>262</v>
      </c>
      <c r="E536">
        <v>3500</v>
      </c>
      <c r="F536">
        <v>3.26</v>
      </c>
      <c r="G536">
        <v>-11417.1</v>
      </c>
    </row>
    <row r="537" spans="1:7" x14ac:dyDescent="0.25">
      <c r="A537">
        <v>20141215</v>
      </c>
      <c r="B537" t="s">
        <v>147</v>
      </c>
      <c r="C537">
        <v>601318</v>
      </c>
      <c r="D537" t="s">
        <v>261</v>
      </c>
      <c r="E537">
        <v>1500</v>
      </c>
      <c r="F537">
        <v>57.12</v>
      </c>
      <c r="G537">
        <v>-85715.17</v>
      </c>
    </row>
    <row r="538" spans="1:7" x14ac:dyDescent="0.25">
      <c r="A538">
        <v>20141215</v>
      </c>
      <c r="B538" t="s">
        <v>147</v>
      </c>
      <c r="C538">
        <v>150186</v>
      </c>
      <c r="D538" t="s">
        <v>275</v>
      </c>
      <c r="E538">
        <v>500000</v>
      </c>
      <c r="F538">
        <v>0.84899999999999998</v>
      </c>
      <c r="G538">
        <v>-424669.81</v>
      </c>
    </row>
    <row r="539" spans="1:7" x14ac:dyDescent="0.25">
      <c r="A539">
        <v>20141215</v>
      </c>
      <c r="B539" t="s">
        <v>147</v>
      </c>
      <c r="C539">
        <v>150181</v>
      </c>
      <c r="D539" t="s">
        <v>259</v>
      </c>
      <c r="E539">
        <v>400000</v>
      </c>
      <c r="F539">
        <v>0.83</v>
      </c>
      <c r="G539">
        <v>-332132.8</v>
      </c>
    </row>
    <row r="540" spans="1:7" x14ac:dyDescent="0.25">
      <c r="A540">
        <v>20141215</v>
      </c>
      <c r="B540" t="s">
        <v>187</v>
      </c>
      <c r="C540">
        <v>113501</v>
      </c>
      <c r="D540">
        <v>113501</v>
      </c>
      <c r="E540">
        <v>20</v>
      </c>
      <c r="F540">
        <v>100</v>
      </c>
      <c r="G540">
        <v>0</v>
      </c>
    </row>
    <row r="541" spans="1:7" x14ac:dyDescent="0.25">
      <c r="A541">
        <v>20141215</v>
      </c>
      <c r="B541" t="s">
        <v>225</v>
      </c>
      <c r="C541">
        <v>161024</v>
      </c>
      <c r="D541" t="s">
        <v>256</v>
      </c>
      <c r="E541">
        <v>-5</v>
      </c>
      <c r="F541">
        <v>1.0680000000000001</v>
      </c>
      <c r="G541">
        <v>0</v>
      </c>
    </row>
    <row r="542" spans="1:7" x14ac:dyDescent="0.25">
      <c r="A542">
        <v>20141215</v>
      </c>
      <c r="B542" t="s">
        <v>225</v>
      </c>
      <c r="C542">
        <v>163111</v>
      </c>
      <c r="D542" t="s">
        <v>266</v>
      </c>
      <c r="E542">
        <v>-9</v>
      </c>
      <c r="F542">
        <v>1.115</v>
      </c>
      <c r="G542">
        <v>0</v>
      </c>
    </row>
    <row r="543" spans="1:7" x14ac:dyDescent="0.25">
      <c r="A543">
        <v>20141215</v>
      </c>
      <c r="B543" t="s">
        <v>145</v>
      </c>
      <c r="E543">
        <v>0</v>
      </c>
      <c r="F543">
        <v>0</v>
      </c>
      <c r="G543">
        <v>-560282.21</v>
      </c>
    </row>
    <row r="544" spans="1:7" x14ac:dyDescent="0.25">
      <c r="A544">
        <v>20141215</v>
      </c>
      <c r="B544" t="s">
        <v>153</v>
      </c>
      <c r="C544">
        <v>150037</v>
      </c>
      <c r="D544" t="s">
        <v>271</v>
      </c>
      <c r="E544">
        <v>-30168</v>
      </c>
      <c r="F544">
        <v>1.1890000000000001</v>
      </c>
      <c r="G544">
        <v>35862.58</v>
      </c>
    </row>
    <row r="545" spans="1:7" x14ac:dyDescent="0.25">
      <c r="A545">
        <v>20141215</v>
      </c>
      <c r="B545" t="s">
        <v>153</v>
      </c>
      <c r="C545">
        <v>150036</v>
      </c>
      <c r="D545" t="s">
        <v>270</v>
      </c>
      <c r="E545">
        <v>-20112</v>
      </c>
      <c r="F545">
        <v>0.98399999999999999</v>
      </c>
      <c r="G545">
        <v>19785.21</v>
      </c>
    </row>
    <row r="546" spans="1:7" x14ac:dyDescent="0.25">
      <c r="A546">
        <v>20141215</v>
      </c>
      <c r="B546" t="s">
        <v>223</v>
      </c>
      <c r="C546">
        <v>540</v>
      </c>
      <c r="D546" t="s">
        <v>224</v>
      </c>
      <c r="E546">
        <v>55447.39</v>
      </c>
      <c r="F546">
        <v>1</v>
      </c>
      <c r="G546">
        <v>-55447.39</v>
      </c>
    </row>
    <row r="547" spans="1:7" x14ac:dyDescent="0.25">
      <c r="A547">
        <v>20141216</v>
      </c>
      <c r="B547" t="s">
        <v>226</v>
      </c>
      <c r="C547">
        <v>540</v>
      </c>
      <c r="D547" t="s">
        <v>224</v>
      </c>
      <c r="E547">
        <v>26.07</v>
      </c>
      <c r="F547">
        <v>1</v>
      </c>
      <c r="G547">
        <v>0</v>
      </c>
    </row>
    <row r="548" spans="1:7" x14ac:dyDescent="0.25">
      <c r="A548">
        <v>20141216</v>
      </c>
      <c r="B548" t="s">
        <v>223</v>
      </c>
      <c r="C548">
        <v>540</v>
      </c>
      <c r="D548" t="s">
        <v>224</v>
      </c>
      <c r="E548">
        <v>715205.53</v>
      </c>
      <c r="F548">
        <v>1</v>
      </c>
      <c r="G548">
        <v>-715205.53</v>
      </c>
    </row>
    <row r="549" spans="1:7" x14ac:dyDescent="0.25">
      <c r="A549">
        <v>20141216</v>
      </c>
      <c r="B549" t="s">
        <v>153</v>
      </c>
      <c r="C549">
        <v>110015</v>
      </c>
      <c r="D549" t="s">
        <v>158</v>
      </c>
      <c r="E549">
        <v>-6000</v>
      </c>
      <c r="F549">
        <v>119.20099999999999</v>
      </c>
      <c r="G549">
        <v>715204.92</v>
      </c>
    </row>
    <row r="550" spans="1:7" x14ac:dyDescent="0.25">
      <c r="A550">
        <v>20141216</v>
      </c>
      <c r="B550" t="s">
        <v>165</v>
      </c>
      <c r="C550">
        <v>110018</v>
      </c>
      <c r="D550" t="s">
        <v>178</v>
      </c>
      <c r="E550">
        <v>-1690</v>
      </c>
      <c r="F550">
        <v>102.64700000000001</v>
      </c>
      <c r="G550">
        <v>0</v>
      </c>
    </row>
    <row r="551" spans="1:7" x14ac:dyDescent="0.25">
      <c r="A551">
        <v>20141216</v>
      </c>
      <c r="B551" t="s">
        <v>165</v>
      </c>
      <c r="C551">
        <v>113001</v>
      </c>
      <c r="D551" t="s">
        <v>179</v>
      </c>
      <c r="E551">
        <v>-5290</v>
      </c>
      <c r="F551">
        <v>105.816</v>
      </c>
      <c r="G551">
        <v>0</v>
      </c>
    </row>
    <row r="552" spans="1:7" x14ac:dyDescent="0.25">
      <c r="A552">
        <v>20141216</v>
      </c>
      <c r="B552" t="s">
        <v>165</v>
      </c>
      <c r="C552">
        <v>113002</v>
      </c>
      <c r="D552" t="s">
        <v>157</v>
      </c>
      <c r="E552">
        <v>-1400</v>
      </c>
      <c r="F552">
        <v>97.4</v>
      </c>
      <c r="G552">
        <v>0</v>
      </c>
    </row>
    <row r="553" spans="1:7" x14ac:dyDescent="0.25">
      <c r="A553">
        <v>20141216</v>
      </c>
      <c r="B553" t="s">
        <v>165</v>
      </c>
      <c r="C553">
        <v>113005</v>
      </c>
      <c r="D553" t="s">
        <v>159</v>
      </c>
      <c r="E553">
        <v>-2500</v>
      </c>
      <c r="F553">
        <v>99.635999999999996</v>
      </c>
      <c r="G553">
        <v>0</v>
      </c>
    </row>
    <row r="554" spans="1:7" x14ac:dyDescent="0.25">
      <c r="A554">
        <v>20141216</v>
      </c>
      <c r="B554" t="s">
        <v>264</v>
      </c>
      <c r="C554">
        <v>510300</v>
      </c>
      <c r="D554" t="s">
        <v>254</v>
      </c>
      <c r="E554">
        <v>4000</v>
      </c>
      <c r="F554">
        <v>3.2509999999999999</v>
      </c>
      <c r="G554">
        <v>-13012.39</v>
      </c>
    </row>
    <row r="555" spans="1:7" x14ac:dyDescent="0.25">
      <c r="A555">
        <v>20141216</v>
      </c>
      <c r="B555" t="s">
        <v>265</v>
      </c>
      <c r="E555">
        <v>0</v>
      </c>
      <c r="F555">
        <v>0</v>
      </c>
      <c r="G555">
        <v>-3.05</v>
      </c>
    </row>
    <row r="556" spans="1:7" x14ac:dyDescent="0.25">
      <c r="A556">
        <v>20141216</v>
      </c>
      <c r="B556" t="s">
        <v>147</v>
      </c>
      <c r="C556">
        <v>110015</v>
      </c>
      <c r="D556" t="s">
        <v>158</v>
      </c>
      <c r="E556">
        <v>6000</v>
      </c>
      <c r="F556">
        <v>119.2</v>
      </c>
      <c r="G556">
        <v>-715343.04</v>
      </c>
    </row>
    <row r="557" spans="1:7" x14ac:dyDescent="0.25">
      <c r="A557">
        <v>20141216</v>
      </c>
      <c r="B557" t="s">
        <v>163</v>
      </c>
      <c r="C557">
        <v>110018</v>
      </c>
      <c r="D557" t="s">
        <v>178</v>
      </c>
      <c r="E557">
        <v>1690</v>
      </c>
      <c r="F557">
        <v>102.64700000000001</v>
      </c>
      <c r="G557">
        <v>0</v>
      </c>
    </row>
    <row r="558" spans="1:7" x14ac:dyDescent="0.25">
      <c r="A558">
        <v>20141216</v>
      </c>
      <c r="B558" t="s">
        <v>163</v>
      </c>
      <c r="C558">
        <v>113001</v>
      </c>
      <c r="D558" t="s">
        <v>179</v>
      </c>
      <c r="E558">
        <v>5290</v>
      </c>
      <c r="F558">
        <v>105.816</v>
      </c>
      <c r="G558">
        <v>0</v>
      </c>
    </row>
    <row r="559" spans="1:7" x14ac:dyDescent="0.25">
      <c r="A559">
        <v>20141216</v>
      </c>
      <c r="B559" t="s">
        <v>163</v>
      </c>
      <c r="C559">
        <v>113002</v>
      </c>
      <c r="D559" t="s">
        <v>157</v>
      </c>
      <c r="E559">
        <v>1400</v>
      </c>
      <c r="F559">
        <v>97.4</v>
      </c>
      <c r="G559">
        <v>0</v>
      </c>
    </row>
    <row r="560" spans="1:7" x14ac:dyDescent="0.25">
      <c r="A560">
        <v>20141216</v>
      </c>
      <c r="B560" t="s">
        <v>163</v>
      </c>
      <c r="C560">
        <v>113005</v>
      </c>
      <c r="D560" t="s">
        <v>159</v>
      </c>
      <c r="E560">
        <v>2500</v>
      </c>
      <c r="F560">
        <v>99.635999999999996</v>
      </c>
      <c r="G560">
        <v>0</v>
      </c>
    </row>
    <row r="561" spans="1:7" x14ac:dyDescent="0.25">
      <c r="A561">
        <v>20141216</v>
      </c>
      <c r="B561" t="s">
        <v>276</v>
      </c>
      <c r="C561">
        <v>161024</v>
      </c>
      <c r="D561" t="s">
        <v>256</v>
      </c>
      <c r="E561">
        <v>4015</v>
      </c>
      <c r="F561">
        <v>1</v>
      </c>
      <c r="G561">
        <v>0</v>
      </c>
    </row>
    <row r="562" spans="1:7" x14ac:dyDescent="0.25">
      <c r="A562">
        <v>20141216</v>
      </c>
      <c r="B562" t="s">
        <v>227</v>
      </c>
      <c r="C562">
        <v>161024</v>
      </c>
      <c r="D562" t="s">
        <v>256</v>
      </c>
      <c r="E562">
        <v>0</v>
      </c>
      <c r="F562">
        <v>1.0680000000000001</v>
      </c>
      <c r="G562">
        <v>5.31</v>
      </c>
    </row>
    <row r="563" spans="1:7" x14ac:dyDescent="0.25">
      <c r="A563">
        <v>20141216</v>
      </c>
      <c r="B563" t="s">
        <v>227</v>
      </c>
      <c r="C563">
        <v>163111</v>
      </c>
      <c r="D563" t="s">
        <v>266</v>
      </c>
      <c r="E563">
        <v>0</v>
      </c>
      <c r="F563">
        <v>1.115</v>
      </c>
      <c r="G563">
        <v>9.99</v>
      </c>
    </row>
    <row r="564" spans="1:7" x14ac:dyDescent="0.25">
      <c r="A564">
        <v>20141216</v>
      </c>
      <c r="B564" t="s">
        <v>276</v>
      </c>
      <c r="C564">
        <v>161024</v>
      </c>
      <c r="D564" t="s">
        <v>256</v>
      </c>
      <c r="E564">
        <v>1</v>
      </c>
      <c r="F564">
        <v>1</v>
      </c>
      <c r="G564">
        <v>0</v>
      </c>
    </row>
    <row r="565" spans="1:7" x14ac:dyDescent="0.25">
      <c r="A565">
        <v>20141216</v>
      </c>
      <c r="B565" t="s">
        <v>190</v>
      </c>
      <c r="C565">
        <v>161024</v>
      </c>
      <c r="D565" t="s">
        <v>256</v>
      </c>
      <c r="E565">
        <v>-1</v>
      </c>
      <c r="F565">
        <v>1</v>
      </c>
      <c r="G565">
        <v>0</v>
      </c>
    </row>
    <row r="566" spans="1:7" x14ac:dyDescent="0.25">
      <c r="A566">
        <v>20141216</v>
      </c>
      <c r="B566" t="s">
        <v>226</v>
      </c>
      <c r="C566">
        <v>540</v>
      </c>
      <c r="D566" t="s">
        <v>224</v>
      </c>
      <c r="E566">
        <v>4.01</v>
      </c>
      <c r="F566">
        <v>1</v>
      </c>
      <c r="G566">
        <v>0</v>
      </c>
    </row>
    <row r="567" spans="1:7" x14ac:dyDescent="0.25">
      <c r="A567">
        <v>20141216</v>
      </c>
      <c r="B567" t="s">
        <v>229</v>
      </c>
      <c r="C567">
        <v>540</v>
      </c>
      <c r="D567" t="s">
        <v>224</v>
      </c>
      <c r="E567">
        <v>55447</v>
      </c>
      <c r="F567">
        <v>1</v>
      </c>
      <c r="G567">
        <v>55447</v>
      </c>
    </row>
    <row r="568" spans="1:7" x14ac:dyDescent="0.25">
      <c r="A568">
        <v>20141216</v>
      </c>
      <c r="B568" t="s">
        <v>223</v>
      </c>
      <c r="C568">
        <v>540</v>
      </c>
      <c r="D568" t="s">
        <v>224</v>
      </c>
      <c r="E568">
        <v>0.4</v>
      </c>
      <c r="F568">
        <v>1</v>
      </c>
      <c r="G568">
        <v>-0.4</v>
      </c>
    </row>
    <row r="569" spans="1:7" x14ac:dyDescent="0.25">
      <c r="A569">
        <v>20141217</v>
      </c>
      <c r="B569" t="s">
        <v>226</v>
      </c>
      <c r="C569">
        <v>540</v>
      </c>
      <c r="D569" t="s">
        <v>224</v>
      </c>
      <c r="E569">
        <v>110.04</v>
      </c>
      <c r="F569">
        <v>1</v>
      </c>
      <c r="G569">
        <v>0</v>
      </c>
    </row>
    <row r="570" spans="1:7" x14ac:dyDescent="0.25">
      <c r="A570">
        <v>20141217</v>
      </c>
      <c r="B570" t="s">
        <v>223</v>
      </c>
      <c r="C570">
        <v>540</v>
      </c>
      <c r="D570" t="s">
        <v>224</v>
      </c>
      <c r="E570">
        <v>0.2</v>
      </c>
      <c r="F570">
        <v>1</v>
      </c>
      <c r="G570">
        <v>-0.2</v>
      </c>
    </row>
    <row r="571" spans="1:7" x14ac:dyDescent="0.25">
      <c r="A571">
        <v>20141217</v>
      </c>
      <c r="B571" t="s">
        <v>163</v>
      </c>
      <c r="C571">
        <v>113001</v>
      </c>
      <c r="D571" t="s">
        <v>179</v>
      </c>
      <c r="E571">
        <v>5290</v>
      </c>
      <c r="F571">
        <v>105.816</v>
      </c>
      <c r="G571">
        <v>0</v>
      </c>
    </row>
    <row r="572" spans="1:7" x14ac:dyDescent="0.25">
      <c r="A572">
        <v>20141217</v>
      </c>
      <c r="B572" t="s">
        <v>163</v>
      </c>
      <c r="C572">
        <v>113002</v>
      </c>
      <c r="D572" t="s">
        <v>157</v>
      </c>
      <c r="E572">
        <v>1400</v>
      </c>
      <c r="F572">
        <v>97.4</v>
      </c>
      <c r="G572">
        <v>0</v>
      </c>
    </row>
    <row r="573" spans="1:7" x14ac:dyDescent="0.25">
      <c r="A573">
        <v>20141217</v>
      </c>
      <c r="B573" t="s">
        <v>163</v>
      </c>
      <c r="C573">
        <v>110018</v>
      </c>
      <c r="D573" t="s">
        <v>178</v>
      </c>
      <c r="E573">
        <v>1690</v>
      </c>
      <c r="F573">
        <v>102.64700000000001</v>
      </c>
      <c r="G573">
        <v>0</v>
      </c>
    </row>
    <row r="574" spans="1:7" x14ac:dyDescent="0.25">
      <c r="A574">
        <v>20141217</v>
      </c>
      <c r="B574" t="s">
        <v>146</v>
      </c>
      <c r="E574">
        <v>0</v>
      </c>
      <c r="F574">
        <v>0</v>
      </c>
      <c r="G574">
        <v>60000</v>
      </c>
    </row>
    <row r="575" spans="1:7" x14ac:dyDescent="0.25">
      <c r="A575">
        <v>20141217</v>
      </c>
      <c r="B575" t="s">
        <v>153</v>
      </c>
      <c r="C575">
        <v>601226</v>
      </c>
      <c r="D575" t="s">
        <v>277</v>
      </c>
      <c r="E575">
        <v>-1000</v>
      </c>
      <c r="F575">
        <v>20.324999999999999</v>
      </c>
      <c r="G575">
        <v>20295.95</v>
      </c>
    </row>
    <row r="576" spans="1:7" x14ac:dyDescent="0.25">
      <c r="A576">
        <v>20141217</v>
      </c>
      <c r="B576" t="s">
        <v>165</v>
      </c>
      <c r="C576">
        <v>110018</v>
      </c>
      <c r="D576" t="s">
        <v>178</v>
      </c>
      <c r="E576">
        <v>-1690</v>
      </c>
      <c r="F576">
        <v>102.64700000000001</v>
      </c>
      <c r="G576">
        <v>0</v>
      </c>
    </row>
    <row r="577" spans="1:7" x14ac:dyDescent="0.25">
      <c r="A577">
        <v>20141217</v>
      </c>
      <c r="B577" t="s">
        <v>165</v>
      </c>
      <c r="C577">
        <v>113001</v>
      </c>
      <c r="D577" t="s">
        <v>179</v>
      </c>
      <c r="E577">
        <v>-5290</v>
      </c>
      <c r="F577">
        <v>105.816</v>
      </c>
      <c r="G577">
        <v>0</v>
      </c>
    </row>
    <row r="578" spans="1:7" x14ac:dyDescent="0.25">
      <c r="A578">
        <v>20141217</v>
      </c>
      <c r="B578" t="s">
        <v>165</v>
      </c>
      <c r="C578">
        <v>113002</v>
      </c>
      <c r="D578" t="s">
        <v>157</v>
      </c>
      <c r="E578">
        <v>-1400</v>
      </c>
      <c r="F578">
        <v>97.4</v>
      </c>
      <c r="G578">
        <v>0</v>
      </c>
    </row>
    <row r="579" spans="1:7" x14ac:dyDescent="0.25">
      <c r="A579">
        <v>20141217</v>
      </c>
      <c r="B579" t="s">
        <v>145</v>
      </c>
      <c r="E579">
        <v>0</v>
      </c>
      <c r="F579">
        <v>0</v>
      </c>
      <c r="G579">
        <v>-55000</v>
      </c>
    </row>
    <row r="580" spans="1:7" x14ac:dyDescent="0.25">
      <c r="A580">
        <v>20141217</v>
      </c>
      <c r="B580" t="s">
        <v>145</v>
      </c>
      <c r="E580">
        <v>0</v>
      </c>
      <c r="F580">
        <v>0</v>
      </c>
      <c r="G580">
        <v>-151</v>
      </c>
    </row>
    <row r="581" spans="1:7" x14ac:dyDescent="0.25">
      <c r="A581">
        <v>20141217</v>
      </c>
      <c r="B581" t="s">
        <v>223</v>
      </c>
      <c r="C581">
        <v>540</v>
      </c>
      <c r="D581" t="s">
        <v>224</v>
      </c>
      <c r="E581">
        <v>296</v>
      </c>
      <c r="F581">
        <v>1</v>
      </c>
      <c r="G581">
        <v>-296</v>
      </c>
    </row>
    <row r="582" spans="1:7" x14ac:dyDescent="0.25">
      <c r="A582">
        <v>20141218</v>
      </c>
      <c r="B582" t="s">
        <v>226</v>
      </c>
      <c r="C582">
        <v>540</v>
      </c>
      <c r="D582" t="s">
        <v>224</v>
      </c>
      <c r="E582">
        <v>132.72999999999999</v>
      </c>
      <c r="F582">
        <v>1</v>
      </c>
      <c r="G582">
        <v>0</v>
      </c>
    </row>
    <row r="583" spans="1:7" x14ac:dyDescent="0.25">
      <c r="A583">
        <v>20141218</v>
      </c>
      <c r="B583" t="s">
        <v>229</v>
      </c>
      <c r="C583">
        <v>540</v>
      </c>
      <c r="D583" t="s">
        <v>224</v>
      </c>
      <c r="E583">
        <v>674000</v>
      </c>
      <c r="F583">
        <v>1</v>
      </c>
      <c r="G583">
        <v>674000</v>
      </c>
    </row>
    <row r="584" spans="1:7" x14ac:dyDescent="0.25">
      <c r="A584">
        <v>20141218</v>
      </c>
      <c r="B584" t="s">
        <v>153</v>
      </c>
      <c r="C584">
        <v>110015</v>
      </c>
      <c r="D584" t="s">
        <v>158</v>
      </c>
      <c r="E584">
        <v>-6000</v>
      </c>
      <c r="F584">
        <v>122.73</v>
      </c>
      <c r="G584">
        <v>736232.72</v>
      </c>
    </row>
    <row r="585" spans="1:7" x14ac:dyDescent="0.25">
      <c r="A585">
        <v>20141218</v>
      </c>
      <c r="B585" t="s">
        <v>153</v>
      </c>
      <c r="C585">
        <v>113501</v>
      </c>
      <c r="D585" t="s">
        <v>278</v>
      </c>
      <c r="E585">
        <v>-20</v>
      </c>
      <c r="F585">
        <v>119.84</v>
      </c>
      <c r="G585">
        <v>2395.8000000000002</v>
      </c>
    </row>
    <row r="586" spans="1:7" x14ac:dyDescent="0.25">
      <c r="A586">
        <v>20141218</v>
      </c>
      <c r="B586" t="s">
        <v>195</v>
      </c>
      <c r="C586">
        <v>601318</v>
      </c>
      <c r="D586" t="s">
        <v>261</v>
      </c>
      <c r="E586">
        <v>1500</v>
      </c>
      <c r="F586">
        <v>0</v>
      </c>
      <c r="G586">
        <v>48300</v>
      </c>
    </row>
    <row r="587" spans="1:7" x14ac:dyDescent="0.25">
      <c r="A587">
        <v>20141218</v>
      </c>
      <c r="B587" t="s">
        <v>195</v>
      </c>
      <c r="C587">
        <v>601988</v>
      </c>
      <c r="D587" t="s">
        <v>262</v>
      </c>
      <c r="E587">
        <v>3500</v>
      </c>
      <c r="F587">
        <v>0</v>
      </c>
      <c r="G587">
        <v>7098</v>
      </c>
    </row>
    <row r="588" spans="1:7" x14ac:dyDescent="0.25">
      <c r="A588">
        <v>20141218</v>
      </c>
      <c r="B588" t="s">
        <v>173</v>
      </c>
      <c r="C588">
        <v>2737</v>
      </c>
      <c r="D588" t="s">
        <v>279</v>
      </c>
      <c r="E588">
        <v>12500</v>
      </c>
      <c r="F588">
        <v>36.53</v>
      </c>
      <c r="G588">
        <v>-456625</v>
      </c>
    </row>
    <row r="589" spans="1:7" x14ac:dyDescent="0.25">
      <c r="A589">
        <v>20141218</v>
      </c>
      <c r="B589" t="s">
        <v>226</v>
      </c>
      <c r="C589">
        <v>540</v>
      </c>
      <c r="D589" t="s">
        <v>224</v>
      </c>
      <c r="E589">
        <v>0.03</v>
      </c>
      <c r="F589">
        <v>1</v>
      </c>
      <c r="G589">
        <v>0</v>
      </c>
    </row>
    <row r="590" spans="1:7" x14ac:dyDescent="0.25">
      <c r="A590">
        <v>20141219</v>
      </c>
      <c r="B590" t="s">
        <v>145</v>
      </c>
      <c r="E590">
        <v>0</v>
      </c>
      <c r="F590">
        <v>0</v>
      </c>
      <c r="G590">
        <v>-670000</v>
      </c>
    </row>
    <row r="591" spans="1:7" x14ac:dyDescent="0.25">
      <c r="A591">
        <v>20141219</v>
      </c>
      <c r="B591" t="s">
        <v>146</v>
      </c>
      <c r="E591">
        <v>0</v>
      </c>
      <c r="F591">
        <v>0</v>
      </c>
      <c r="G591">
        <v>300000</v>
      </c>
    </row>
    <row r="592" spans="1:7" x14ac:dyDescent="0.25">
      <c r="A592">
        <v>20141219</v>
      </c>
      <c r="B592" t="s">
        <v>229</v>
      </c>
      <c r="C592">
        <v>540</v>
      </c>
      <c r="D592" t="s">
        <v>224</v>
      </c>
      <c r="E592">
        <v>401384.94</v>
      </c>
      <c r="F592">
        <v>1</v>
      </c>
      <c r="G592">
        <v>401520.75</v>
      </c>
    </row>
    <row r="593" spans="1:7" x14ac:dyDescent="0.25">
      <c r="A593">
        <v>20141219</v>
      </c>
      <c r="B593" t="s">
        <v>173</v>
      </c>
      <c r="C593">
        <v>734588</v>
      </c>
      <c r="D593" t="s">
        <v>191</v>
      </c>
      <c r="E593">
        <v>16000</v>
      </c>
      <c r="F593">
        <v>18.23</v>
      </c>
      <c r="G593">
        <v>-291680</v>
      </c>
    </row>
    <row r="594" spans="1:7" x14ac:dyDescent="0.25">
      <c r="A594">
        <v>20141219</v>
      </c>
      <c r="B594" t="s">
        <v>153</v>
      </c>
      <c r="C594">
        <v>110018</v>
      </c>
      <c r="D594" t="s">
        <v>178</v>
      </c>
      <c r="E594">
        <v>-1690</v>
      </c>
      <c r="F594">
        <v>165.01</v>
      </c>
      <c r="G594">
        <v>278811.13</v>
      </c>
    </row>
    <row r="595" spans="1:7" x14ac:dyDescent="0.25">
      <c r="A595">
        <v>20141219</v>
      </c>
      <c r="B595" t="s">
        <v>160</v>
      </c>
      <c r="E595">
        <v>0</v>
      </c>
      <c r="F595">
        <v>0</v>
      </c>
      <c r="G595">
        <v>32.57</v>
      </c>
    </row>
    <row r="596" spans="1:7" x14ac:dyDescent="0.25">
      <c r="A596">
        <v>20141219</v>
      </c>
      <c r="B596" t="s">
        <v>146</v>
      </c>
      <c r="E596">
        <v>0</v>
      </c>
      <c r="F596">
        <v>0</v>
      </c>
      <c r="G596">
        <v>670000</v>
      </c>
    </row>
    <row r="597" spans="1:7" x14ac:dyDescent="0.25">
      <c r="A597">
        <v>20141219</v>
      </c>
      <c r="B597" t="s">
        <v>145</v>
      </c>
      <c r="E597">
        <v>0</v>
      </c>
      <c r="F597">
        <v>0</v>
      </c>
      <c r="G597">
        <v>-300000</v>
      </c>
    </row>
    <row r="598" spans="1:7" x14ac:dyDescent="0.25">
      <c r="A598">
        <v>20141219</v>
      </c>
      <c r="B598" t="s">
        <v>160</v>
      </c>
      <c r="E598">
        <v>0</v>
      </c>
      <c r="F598">
        <v>0</v>
      </c>
      <c r="G598">
        <v>187.32</v>
      </c>
    </row>
    <row r="599" spans="1:7" x14ac:dyDescent="0.25">
      <c r="A599">
        <v>20141219</v>
      </c>
      <c r="B599" t="s">
        <v>173</v>
      </c>
      <c r="C599">
        <v>734588</v>
      </c>
      <c r="D599" t="s">
        <v>191</v>
      </c>
      <c r="E599">
        <v>16000</v>
      </c>
      <c r="F599">
        <v>18.23</v>
      </c>
      <c r="G599">
        <v>-291680</v>
      </c>
    </row>
    <row r="600" spans="1:7" x14ac:dyDescent="0.25">
      <c r="A600">
        <v>20141219</v>
      </c>
      <c r="B600" t="s">
        <v>173</v>
      </c>
      <c r="C600">
        <v>300411</v>
      </c>
      <c r="D600" t="s">
        <v>280</v>
      </c>
      <c r="E600">
        <v>8000</v>
      </c>
      <c r="F600">
        <v>12.8</v>
      </c>
      <c r="G600">
        <v>-102400</v>
      </c>
    </row>
    <row r="601" spans="1:7" x14ac:dyDescent="0.25">
      <c r="A601">
        <v>20141219</v>
      </c>
      <c r="B601" t="s">
        <v>173</v>
      </c>
      <c r="C601">
        <v>300412</v>
      </c>
      <c r="D601" t="s">
        <v>281</v>
      </c>
      <c r="E601">
        <v>5000</v>
      </c>
      <c r="F601">
        <v>13.6</v>
      </c>
      <c r="G601">
        <v>-68000</v>
      </c>
    </row>
    <row r="602" spans="1:7" x14ac:dyDescent="0.25">
      <c r="A602">
        <v>20141219</v>
      </c>
      <c r="B602" t="s">
        <v>173</v>
      </c>
      <c r="C602">
        <v>300410</v>
      </c>
      <c r="D602" t="s">
        <v>282</v>
      </c>
      <c r="E602">
        <v>6000</v>
      </c>
      <c r="F602">
        <v>10.79</v>
      </c>
      <c r="G602">
        <v>-64740</v>
      </c>
    </row>
    <row r="603" spans="1:7" x14ac:dyDescent="0.25">
      <c r="A603">
        <v>20141219</v>
      </c>
      <c r="B603" t="s">
        <v>173</v>
      </c>
      <c r="C603">
        <v>2738</v>
      </c>
      <c r="D603" t="s">
        <v>283</v>
      </c>
      <c r="E603">
        <v>11500</v>
      </c>
      <c r="F603">
        <v>7.57</v>
      </c>
      <c r="G603">
        <v>-87055</v>
      </c>
    </row>
    <row r="604" spans="1:7" x14ac:dyDescent="0.25">
      <c r="A604">
        <v>20141219</v>
      </c>
      <c r="B604" t="s">
        <v>173</v>
      </c>
      <c r="C604">
        <v>2736</v>
      </c>
      <c r="D604" t="s">
        <v>284</v>
      </c>
      <c r="E604">
        <v>11500</v>
      </c>
      <c r="F604">
        <v>5.83</v>
      </c>
      <c r="G604">
        <v>-67045</v>
      </c>
    </row>
    <row r="605" spans="1:7" x14ac:dyDescent="0.25">
      <c r="A605">
        <v>20141219</v>
      </c>
      <c r="B605" t="s">
        <v>176</v>
      </c>
      <c r="C605">
        <v>2737</v>
      </c>
      <c r="D605" t="s">
        <v>279</v>
      </c>
      <c r="E605">
        <v>25</v>
      </c>
      <c r="F605">
        <v>36.53</v>
      </c>
      <c r="G605">
        <v>0</v>
      </c>
    </row>
    <row r="606" spans="1:7" x14ac:dyDescent="0.25">
      <c r="A606">
        <v>20141219</v>
      </c>
      <c r="B606" t="s">
        <v>226</v>
      </c>
      <c r="C606">
        <v>540</v>
      </c>
      <c r="D606" t="s">
        <v>224</v>
      </c>
      <c r="E606">
        <v>0.1</v>
      </c>
      <c r="F606">
        <v>1</v>
      </c>
      <c r="G606">
        <v>0</v>
      </c>
    </row>
    <row r="607" spans="1:7" x14ac:dyDescent="0.25">
      <c r="A607">
        <v>20141222</v>
      </c>
      <c r="B607" t="s">
        <v>146</v>
      </c>
      <c r="E607">
        <v>0</v>
      </c>
      <c r="F607">
        <v>0</v>
      </c>
      <c r="G607">
        <v>100000</v>
      </c>
    </row>
    <row r="608" spans="1:7" x14ac:dyDescent="0.25">
      <c r="A608">
        <v>20141222</v>
      </c>
      <c r="B608" t="s">
        <v>145</v>
      </c>
      <c r="E608">
        <v>0</v>
      </c>
      <c r="F608">
        <v>0</v>
      </c>
      <c r="G608">
        <v>-6000</v>
      </c>
    </row>
    <row r="609" spans="1:7" x14ac:dyDescent="0.25">
      <c r="A609">
        <v>20141222</v>
      </c>
      <c r="B609" t="s">
        <v>145</v>
      </c>
      <c r="E609">
        <v>0</v>
      </c>
      <c r="F609">
        <v>0</v>
      </c>
      <c r="G609">
        <v>-115000</v>
      </c>
    </row>
    <row r="610" spans="1:7" x14ac:dyDescent="0.25">
      <c r="A610">
        <v>20141222</v>
      </c>
      <c r="B610" t="s">
        <v>146</v>
      </c>
      <c r="E610">
        <v>0</v>
      </c>
      <c r="F610">
        <v>0</v>
      </c>
      <c r="G610">
        <v>10000</v>
      </c>
    </row>
    <row r="611" spans="1:7" x14ac:dyDescent="0.25">
      <c r="A611">
        <v>20141222</v>
      </c>
      <c r="B611" t="s">
        <v>146</v>
      </c>
      <c r="E611">
        <v>0</v>
      </c>
      <c r="F611">
        <v>0</v>
      </c>
      <c r="G611">
        <v>30000</v>
      </c>
    </row>
    <row r="612" spans="1:7" x14ac:dyDescent="0.25">
      <c r="A612">
        <v>20141222</v>
      </c>
      <c r="B612" t="s">
        <v>285</v>
      </c>
      <c r="E612">
        <v>0</v>
      </c>
      <c r="F612">
        <v>0</v>
      </c>
      <c r="G612">
        <v>103.68</v>
      </c>
    </row>
    <row r="613" spans="1:7" x14ac:dyDescent="0.25">
      <c r="A613">
        <v>20141222</v>
      </c>
      <c r="B613" t="s">
        <v>147</v>
      </c>
      <c r="C613">
        <v>110018</v>
      </c>
      <c r="D613" t="s">
        <v>178</v>
      </c>
      <c r="E613">
        <v>380</v>
      </c>
      <c r="F613">
        <v>192.45</v>
      </c>
      <c r="G613">
        <v>-73131.37</v>
      </c>
    </row>
    <row r="614" spans="1:7" x14ac:dyDescent="0.25">
      <c r="A614">
        <v>20141222</v>
      </c>
      <c r="B614" t="s">
        <v>153</v>
      </c>
      <c r="C614">
        <v>600795</v>
      </c>
      <c r="D614" t="s">
        <v>220</v>
      </c>
      <c r="E614">
        <v>-29000</v>
      </c>
      <c r="F614">
        <v>4.4400000000000004</v>
      </c>
      <c r="G614">
        <v>128581.65</v>
      </c>
    </row>
    <row r="615" spans="1:7" x14ac:dyDescent="0.25">
      <c r="A615">
        <v>20141222</v>
      </c>
      <c r="B615" t="s">
        <v>147</v>
      </c>
      <c r="C615">
        <v>110018</v>
      </c>
      <c r="D615" t="s">
        <v>178</v>
      </c>
      <c r="E615">
        <v>300</v>
      </c>
      <c r="F615">
        <v>193.99</v>
      </c>
      <c r="G615">
        <v>-58197.29</v>
      </c>
    </row>
    <row r="616" spans="1:7" x14ac:dyDescent="0.25">
      <c r="A616">
        <v>20141222</v>
      </c>
      <c r="B616" t="s">
        <v>173</v>
      </c>
      <c r="C616">
        <v>734017</v>
      </c>
      <c r="D616" t="s">
        <v>191</v>
      </c>
      <c r="E616">
        <v>6000</v>
      </c>
      <c r="F616">
        <v>29.97</v>
      </c>
      <c r="G616">
        <v>-179820</v>
      </c>
    </row>
    <row r="617" spans="1:7" x14ac:dyDescent="0.25">
      <c r="A617">
        <v>20141222</v>
      </c>
      <c r="B617" t="s">
        <v>173</v>
      </c>
      <c r="C617">
        <v>734636</v>
      </c>
      <c r="D617" t="s">
        <v>191</v>
      </c>
      <c r="E617">
        <v>10000</v>
      </c>
      <c r="F617">
        <v>14.95</v>
      </c>
      <c r="G617">
        <v>-149500</v>
      </c>
    </row>
    <row r="618" spans="1:7" x14ac:dyDescent="0.25">
      <c r="A618">
        <v>20141222</v>
      </c>
      <c r="B618" t="s">
        <v>176</v>
      </c>
      <c r="C618">
        <v>736588</v>
      </c>
      <c r="D618" t="s">
        <v>286</v>
      </c>
      <c r="E618">
        <v>16</v>
      </c>
      <c r="F618">
        <v>0</v>
      </c>
      <c r="G618">
        <v>0</v>
      </c>
    </row>
    <row r="619" spans="1:7" x14ac:dyDescent="0.25">
      <c r="A619">
        <v>20141222</v>
      </c>
      <c r="B619" t="s">
        <v>219</v>
      </c>
      <c r="C619">
        <v>600795</v>
      </c>
      <c r="D619" t="s">
        <v>220</v>
      </c>
      <c r="E619">
        <v>29955</v>
      </c>
      <c r="F619">
        <v>0</v>
      </c>
      <c r="G619">
        <v>0</v>
      </c>
    </row>
    <row r="620" spans="1:7" x14ac:dyDescent="0.25">
      <c r="A620">
        <v>20141222</v>
      </c>
      <c r="B620" t="s">
        <v>219</v>
      </c>
      <c r="C620">
        <v>110018</v>
      </c>
      <c r="D620" t="s">
        <v>178</v>
      </c>
      <c r="E620">
        <v>-680</v>
      </c>
      <c r="F620">
        <v>0</v>
      </c>
      <c r="G620">
        <v>0</v>
      </c>
    </row>
    <row r="621" spans="1:7" x14ac:dyDescent="0.25">
      <c r="A621">
        <v>20141222</v>
      </c>
      <c r="B621" t="s">
        <v>219</v>
      </c>
      <c r="C621">
        <v>190018</v>
      </c>
      <c r="D621" t="s">
        <v>221</v>
      </c>
      <c r="E621">
        <v>0</v>
      </c>
      <c r="F621">
        <v>0</v>
      </c>
      <c r="G621">
        <v>2.15</v>
      </c>
    </row>
    <row r="622" spans="1:7" x14ac:dyDescent="0.25">
      <c r="A622">
        <v>20141222</v>
      </c>
      <c r="B622" t="s">
        <v>223</v>
      </c>
      <c r="C622">
        <v>540</v>
      </c>
      <c r="D622" t="s">
        <v>224</v>
      </c>
      <c r="E622">
        <v>100773.14</v>
      </c>
      <c r="F622">
        <v>1</v>
      </c>
      <c r="G622">
        <v>-100773.14</v>
      </c>
    </row>
    <row r="623" spans="1:7" x14ac:dyDescent="0.25">
      <c r="A623">
        <v>20141222</v>
      </c>
      <c r="B623" t="s">
        <v>145</v>
      </c>
      <c r="E623">
        <v>0</v>
      </c>
      <c r="F623">
        <v>0</v>
      </c>
      <c r="G623">
        <v>-280000</v>
      </c>
    </row>
    <row r="624" spans="1:7" x14ac:dyDescent="0.25">
      <c r="A624">
        <v>20141222</v>
      </c>
      <c r="B624" t="s">
        <v>145</v>
      </c>
      <c r="E624">
        <v>0</v>
      </c>
      <c r="F624">
        <v>0</v>
      </c>
      <c r="G624">
        <v>-115000</v>
      </c>
    </row>
    <row r="625" spans="1:7" x14ac:dyDescent="0.25">
      <c r="A625">
        <v>20141222</v>
      </c>
      <c r="B625" t="s">
        <v>173</v>
      </c>
      <c r="C625">
        <v>734636</v>
      </c>
      <c r="D625" t="s">
        <v>191</v>
      </c>
      <c r="E625">
        <v>10000</v>
      </c>
      <c r="F625">
        <v>14.95</v>
      </c>
      <c r="G625">
        <v>-149500</v>
      </c>
    </row>
    <row r="626" spans="1:7" x14ac:dyDescent="0.25">
      <c r="A626">
        <v>20141222</v>
      </c>
      <c r="B626" t="s">
        <v>173</v>
      </c>
      <c r="C626">
        <v>734017</v>
      </c>
      <c r="D626" t="s">
        <v>191</v>
      </c>
      <c r="E626">
        <v>6000</v>
      </c>
      <c r="F626">
        <v>29.97</v>
      </c>
      <c r="G626">
        <v>-179820</v>
      </c>
    </row>
    <row r="627" spans="1:7" x14ac:dyDescent="0.25">
      <c r="A627">
        <v>20141222</v>
      </c>
      <c r="B627" t="s">
        <v>176</v>
      </c>
      <c r="C627">
        <v>736588</v>
      </c>
      <c r="D627" t="s">
        <v>286</v>
      </c>
      <c r="E627">
        <v>16</v>
      </c>
      <c r="F627">
        <v>18.23</v>
      </c>
      <c r="G627">
        <v>0</v>
      </c>
    </row>
    <row r="628" spans="1:7" x14ac:dyDescent="0.25">
      <c r="A628">
        <v>20141222</v>
      </c>
      <c r="B628" t="s">
        <v>204</v>
      </c>
      <c r="C628">
        <v>601318</v>
      </c>
      <c r="D628" t="s">
        <v>261</v>
      </c>
      <c r="E628">
        <v>-1500</v>
      </c>
      <c r="F628">
        <v>0</v>
      </c>
      <c r="G628">
        <v>-48446.38</v>
      </c>
    </row>
    <row r="629" spans="1:7" x14ac:dyDescent="0.25">
      <c r="A629">
        <v>20141222</v>
      </c>
      <c r="B629" t="s">
        <v>204</v>
      </c>
      <c r="C629">
        <v>601988</v>
      </c>
      <c r="D629" t="s">
        <v>262</v>
      </c>
      <c r="E629">
        <v>-3500</v>
      </c>
      <c r="F629">
        <v>0</v>
      </c>
      <c r="G629">
        <v>-7209.16</v>
      </c>
    </row>
    <row r="630" spans="1:7" x14ac:dyDescent="0.25">
      <c r="A630">
        <v>20141222</v>
      </c>
      <c r="B630" t="s">
        <v>177</v>
      </c>
      <c r="C630">
        <v>2737</v>
      </c>
      <c r="D630" t="s">
        <v>279</v>
      </c>
      <c r="E630">
        <v>-12500</v>
      </c>
      <c r="F630">
        <v>36.53</v>
      </c>
      <c r="G630">
        <v>456625</v>
      </c>
    </row>
    <row r="631" spans="1:7" x14ac:dyDescent="0.25">
      <c r="A631">
        <v>20141222</v>
      </c>
      <c r="B631" t="s">
        <v>176</v>
      </c>
      <c r="C631">
        <v>300412</v>
      </c>
      <c r="D631" t="s">
        <v>281</v>
      </c>
      <c r="E631">
        <v>10</v>
      </c>
      <c r="F631">
        <v>13.6</v>
      </c>
      <c r="G631">
        <v>0</v>
      </c>
    </row>
    <row r="632" spans="1:7" x14ac:dyDescent="0.25">
      <c r="A632">
        <v>20141222</v>
      </c>
      <c r="B632" t="s">
        <v>176</v>
      </c>
      <c r="C632">
        <v>300411</v>
      </c>
      <c r="D632" t="s">
        <v>280</v>
      </c>
      <c r="E632">
        <v>16</v>
      </c>
      <c r="F632">
        <v>12.8</v>
      </c>
      <c r="G632">
        <v>0</v>
      </c>
    </row>
    <row r="633" spans="1:7" x14ac:dyDescent="0.25">
      <c r="A633">
        <v>20141222</v>
      </c>
      <c r="B633" t="s">
        <v>176</v>
      </c>
      <c r="C633">
        <v>300410</v>
      </c>
      <c r="D633" t="s">
        <v>282</v>
      </c>
      <c r="E633">
        <v>12</v>
      </c>
      <c r="F633">
        <v>10.79</v>
      </c>
      <c r="G633">
        <v>0</v>
      </c>
    </row>
    <row r="634" spans="1:7" x14ac:dyDescent="0.25">
      <c r="A634">
        <v>20141222</v>
      </c>
      <c r="B634" t="s">
        <v>176</v>
      </c>
      <c r="C634">
        <v>2738</v>
      </c>
      <c r="D634" t="s">
        <v>283</v>
      </c>
      <c r="E634">
        <v>23</v>
      </c>
      <c r="F634">
        <v>7.57</v>
      </c>
      <c r="G634">
        <v>0</v>
      </c>
    </row>
    <row r="635" spans="1:7" x14ac:dyDescent="0.25">
      <c r="A635">
        <v>20141222</v>
      </c>
      <c r="B635" t="s">
        <v>176</v>
      </c>
      <c r="C635">
        <v>2736</v>
      </c>
      <c r="D635" t="s">
        <v>284</v>
      </c>
      <c r="E635">
        <v>23</v>
      </c>
      <c r="F635">
        <v>5.83</v>
      </c>
      <c r="G635">
        <v>0</v>
      </c>
    </row>
    <row r="636" spans="1:7" x14ac:dyDescent="0.25">
      <c r="A636">
        <v>20141222</v>
      </c>
      <c r="B636" t="s">
        <v>285</v>
      </c>
      <c r="E636">
        <v>0</v>
      </c>
      <c r="F636">
        <v>0</v>
      </c>
      <c r="G636">
        <v>22.96</v>
      </c>
    </row>
    <row r="637" spans="1:7" x14ac:dyDescent="0.25">
      <c r="A637">
        <v>20141222</v>
      </c>
      <c r="B637" t="s">
        <v>226</v>
      </c>
      <c r="C637">
        <v>540</v>
      </c>
      <c r="D637" t="s">
        <v>224</v>
      </c>
      <c r="E637">
        <v>0.03</v>
      </c>
      <c r="F637">
        <v>1</v>
      </c>
      <c r="G637">
        <v>0</v>
      </c>
    </row>
    <row r="638" spans="1:7" x14ac:dyDescent="0.25">
      <c r="A638">
        <v>20141223</v>
      </c>
      <c r="B638" t="s">
        <v>146</v>
      </c>
      <c r="E638">
        <v>0</v>
      </c>
      <c r="F638">
        <v>0</v>
      </c>
      <c r="G638">
        <v>200000</v>
      </c>
    </row>
    <row r="639" spans="1:7" x14ac:dyDescent="0.25">
      <c r="A639">
        <v>20141223</v>
      </c>
      <c r="B639" t="s">
        <v>226</v>
      </c>
      <c r="C639">
        <v>540</v>
      </c>
      <c r="D639" t="s">
        <v>224</v>
      </c>
      <c r="E639">
        <v>4.75</v>
      </c>
      <c r="F639">
        <v>1</v>
      </c>
      <c r="G639">
        <v>0</v>
      </c>
    </row>
    <row r="640" spans="1:7" x14ac:dyDescent="0.25">
      <c r="A640">
        <v>20141223</v>
      </c>
      <c r="B640" t="s">
        <v>223</v>
      </c>
      <c r="C640">
        <v>540</v>
      </c>
      <c r="D640" t="s">
        <v>224</v>
      </c>
      <c r="E640">
        <v>23210.29</v>
      </c>
      <c r="F640">
        <v>1</v>
      </c>
      <c r="G640">
        <v>-23210.29</v>
      </c>
    </row>
    <row r="641" spans="1:7" x14ac:dyDescent="0.25">
      <c r="A641">
        <v>20141223</v>
      </c>
      <c r="B641" t="s">
        <v>147</v>
      </c>
      <c r="C641">
        <v>110018</v>
      </c>
      <c r="D641" t="s">
        <v>178</v>
      </c>
      <c r="E641">
        <v>600</v>
      </c>
      <c r="F641">
        <v>199.46</v>
      </c>
      <c r="G641">
        <v>-119676.6</v>
      </c>
    </row>
    <row r="642" spans="1:7" x14ac:dyDescent="0.25">
      <c r="A642">
        <v>20141223</v>
      </c>
      <c r="B642" t="s">
        <v>153</v>
      </c>
      <c r="C642">
        <v>600795</v>
      </c>
      <c r="D642" t="s">
        <v>220</v>
      </c>
      <c r="E642">
        <v>-29955</v>
      </c>
      <c r="F642">
        <v>4.62</v>
      </c>
      <c r="G642">
        <v>138201.14000000001</v>
      </c>
    </row>
    <row r="643" spans="1:7" x14ac:dyDescent="0.25">
      <c r="A643">
        <v>20141223</v>
      </c>
      <c r="B643" t="s">
        <v>147</v>
      </c>
      <c r="C643">
        <v>110018</v>
      </c>
      <c r="D643" t="s">
        <v>178</v>
      </c>
      <c r="E643">
        <v>80</v>
      </c>
      <c r="F643">
        <v>199</v>
      </c>
      <c r="G643">
        <v>-15920.08</v>
      </c>
    </row>
    <row r="644" spans="1:7" x14ac:dyDescent="0.25">
      <c r="A644">
        <v>20141223</v>
      </c>
      <c r="B644" t="s">
        <v>173</v>
      </c>
      <c r="C644">
        <v>734889</v>
      </c>
      <c r="D644" t="s">
        <v>191</v>
      </c>
      <c r="E644">
        <v>10000</v>
      </c>
      <c r="F644">
        <v>17.95</v>
      </c>
      <c r="G644">
        <v>-179500</v>
      </c>
    </row>
    <row r="645" spans="1:7" x14ac:dyDescent="0.25">
      <c r="A645">
        <v>20141223</v>
      </c>
      <c r="B645" t="s">
        <v>177</v>
      </c>
      <c r="C645">
        <v>734588</v>
      </c>
      <c r="D645" t="s">
        <v>191</v>
      </c>
      <c r="E645">
        <v>-16000</v>
      </c>
      <c r="F645">
        <v>18.23</v>
      </c>
      <c r="G645">
        <v>291680</v>
      </c>
    </row>
    <row r="646" spans="1:7" x14ac:dyDescent="0.25">
      <c r="A646">
        <v>20141223</v>
      </c>
      <c r="B646" t="s">
        <v>176</v>
      </c>
      <c r="C646">
        <v>736017</v>
      </c>
      <c r="D646" t="s">
        <v>287</v>
      </c>
      <c r="E646">
        <v>6</v>
      </c>
      <c r="F646">
        <v>0</v>
      </c>
      <c r="G646">
        <v>0</v>
      </c>
    </row>
    <row r="647" spans="1:7" x14ac:dyDescent="0.25">
      <c r="A647">
        <v>20141223</v>
      </c>
      <c r="B647" t="s">
        <v>176</v>
      </c>
      <c r="C647">
        <v>736636</v>
      </c>
      <c r="D647" t="s">
        <v>288</v>
      </c>
      <c r="E647">
        <v>10</v>
      </c>
      <c r="F647">
        <v>0</v>
      </c>
      <c r="G647">
        <v>0</v>
      </c>
    </row>
    <row r="648" spans="1:7" x14ac:dyDescent="0.25">
      <c r="A648">
        <v>20141223</v>
      </c>
      <c r="B648" t="s">
        <v>145</v>
      </c>
      <c r="E648">
        <v>0</v>
      </c>
      <c r="F648">
        <v>0</v>
      </c>
      <c r="G648">
        <v>-200000</v>
      </c>
    </row>
    <row r="649" spans="1:7" x14ac:dyDescent="0.25">
      <c r="A649">
        <v>20141223</v>
      </c>
      <c r="B649" t="s">
        <v>153</v>
      </c>
      <c r="C649">
        <v>150186</v>
      </c>
      <c r="D649" t="s">
        <v>275</v>
      </c>
      <c r="E649">
        <v>-500000</v>
      </c>
      <c r="F649">
        <v>0.85499999999999998</v>
      </c>
      <c r="G649">
        <v>427329.01</v>
      </c>
    </row>
    <row r="650" spans="1:7" x14ac:dyDescent="0.25">
      <c r="A650">
        <v>20141223</v>
      </c>
      <c r="B650" t="s">
        <v>173</v>
      </c>
      <c r="C650">
        <v>734889</v>
      </c>
      <c r="D650" t="s">
        <v>191</v>
      </c>
      <c r="E650">
        <v>10000</v>
      </c>
      <c r="F650">
        <v>17.95</v>
      </c>
      <c r="G650">
        <v>-179500</v>
      </c>
    </row>
    <row r="651" spans="1:7" x14ac:dyDescent="0.25">
      <c r="A651">
        <v>20141223</v>
      </c>
      <c r="B651" t="s">
        <v>177</v>
      </c>
      <c r="C651">
        <v>734588</v>
      </c>
      <c r="D651" t="s">
        <v>191</v>
      </c>
      <c r="E651">
        <v>-16000</v>
      </c>
      <c r="F651">
        <v>18.23</v>
      </c>
      <c r="G651">
        <v>291680</v>
      </c>
    </row>
    <row r="652" spans="1:7" x14ac:dyDescent="0.25">
      <c r="A652">
        <v>20141223</v>
      </c>
      <c r="B652" t="s">
        <v>176</v>
      </c>
      <c r="C652">
        <v>736017</v>
      </c>
      <c r="D652" t="s">
        <v>287</v>
      </c>
      <c r="E652">
        <v>6</v>
      </c>
      <c r="F652">
        <v>29.97</v>
      </c>
      <c r="G652">
        <v>0</v>
      </c>
    </row>
    <row r="653" spans="1:7" x14ac:dyDescent="0.25">
      <c r="A653">
        <v>20141223</v>
      </c>
      <c r="B653" t="s">
        <v>176</v>
      </c>
      <c r="C653">
        <v>736636</v>
      </c>
      <c r="D653" t="s">
        <v>288</v>
      </c>
      <c r="E653">
        <v>10</v>
      </c>
      <c r="F653">
        <v>14.95</v>
      </c>
      <c r="G653">
        <v>0</v>
      </c>
    </row>
    <row r="654" spans="1:7" x14ac:dyDescent="0.25">
      <c r="A654">
        <v>20141223</v>
      </c>
      <c r="B654" t="s">
        <v>177</v>
      </c>
      <c r="C654">
        <v>300412</v>
      </c>
      <c r="D654" t="s">
        <v>281</v>
      </c>
      <c r="E654">
        <v>-5000</v>
      </c>
      <c r="F654">
        <v>13.6</v>
      </c>
      <c r="G654">
        <v>68000</v>
      </c>
    </row>
    <row r="655" spans="1:7" x14ac:dyDescent="0.25">
      <c r="A655">
        <v>20141223</v>
      </c>
      <c r="B655" t="s">
        <v>177</v>
      </c>
      <c r="C655">
        <v>300410</v>
      </c>
      <c r="D655" t="s">
        <v>282</v>
      </c>
      <c r="E655">
        <v>-6000</v>
      </c>
      <c r="F655">
        <v>10.79</v>
      </c>
      <c r="G655">
        <v>64740</v>
      </c>
    </row>
    <row r="656" spans="1:7" x14ac:dyDescent="0.25">
      <c r="A656">
        <v>20141223</v>
      </c>
      <c r="B656" t="s">
        <v>177</v>
      </c>
      <c r="C656">
        <v>300411</v>
      </c>
      <c r="D656" t="s">
        <v>280</v>
      </c>
      <c r="E656">
        <v>-8000</v>
      </c>
      <c r="F656">
        <v>12.8</v>
      </c>
      <c r="G656">
        <v>102400</v>
      </c>
    </row>
    <row r="657" spans="1:7" x14ac:dyDescent="0.25">
      <c r="A657">
        <v>20141223</v>
      </c>
      <c r="B657" t="s">
        <v>177</v>
      </c>
      <c r="C657">
        <v>2738</v>
      </c>
      <c r="D657" t="s">
        <v>283</v>
      </c>
      <c r="E657">
        <v>-11500</v>
      </c>
      <c r="F657">
        <v>7.57</v>
      </c>
      <c r="G657">
        <v>87055</v>
      </c>
    </row>
    <row r="658" spans="1:7" x14ac:dyDescent="0.25">
      <c r="A658">
        <v>20141223</v>
      </c>
      <c r="B658" t="s">
        <v>177</v>
      </c>
      <c r="C658">
        <v>2736</v>
      </c>
      <c r="D658" t="s">
        <v>284</v>
      </c>
      <c r="E658">
        <v>-11500</v>
      </c>
      <c r="F658">
        <v>5.83</v>
      </c>
      <c r="G658">
        <v>67045</v>
      </c>
    </row>
    <row r="659" spans="1:7" x14ac:dyDescent="0.25">
      <c r="A659">
        <v>20141223</v>
      </c>
      <c r="B659" t="s">
        <v>226</v>
      </c>
      <c r="C659">
        <v>540</v>
      </c>
      <c r="D659" t="s">
        <v>224</v>
      </c>
      <c r="E659">
        <v>0.01</v>
      </c>
      <c r="F659">
        <v>1</v>
      </c>
      <c r="G659">
        <v>0</v>
      </c>
    </row>
    <row r="660" spans="1:7" x14ac:dyDescent="0.25">
      <c r="A660">
        <v>20141223</v>
      </c>
      <c r="B660" t="s">
        <v>223</v>
      </c>
      <c r="C660">
        <v>540</v>
      </c>
      <c r="D660" t="s">
        <v>224</v>
      </c>
      <c r="E660">
        <v>22.96</v>
      </c>
      <c r="F660">
        <v>1</v>
      </c>
      <c r="G660">
        <v>-22.96</v>
      </c>
    </row>
    <row r="661" spans="1:7" x14ac:dyDescent="0.25">
      <c r="A661">
        <v>20141224</v>
      </c>
      <c r="B661" t="s">
        <v>226</v>
      </c>
      <c r="C661">
        <v>540</v>
      </c>
      <c r="D661" t="s">
        <v>224</v>
      </c>
      <c r="E661">
        <v>20.16</v>
      </c>
      <c r="F661">
        <v>1</v>
      </c>
      <c r="G661">
        <v>0</v>
      </c>
    </row>
    <row r="662" spans="1:7" x14ac:dyDescent="0.25">
      <c r="A662">
        <v>20141224</v>
      </c>
      <c r="B662" t="s">
        <v>223</v>
      </c>
      <c r="C662">
        <v>540</v>
      </c>
      <c r="D662" t="s">
        <v>224</v>
      </c>
      <c r="E662">
        <v>708822.77</v>
      </c>
      <c r="F662">
        <v>1</v>
      </c>
      <c r="G662">
        <v>-708822.77</v>
      </c>
    </row>
    <row r="663" spans="1:7" x14ac:dyDescent="0.25">
      <c r="A663">
        <v>20141224</v>
      </c>
      <c r="B663" t="s">
        <v>153</v>
      </c>
      <c r="C663">
        <v>150200</v>
      </c>
      <c r="D663" t="s">
        <v>272</v>
      </c>
      <c r="E663">
        <v>-488100</v>
      </c>
      <c r="F663">
        <v>0.84499999999999997</v>
      </c>
      <c r="G663">
        <v>412341.39</v>
      </c>
    </row>
    <row r="664" spans="1:7" x14ac:dyDescent="0.25">
      <c r="A664">
        <v>20141224</v>
      </c>
      <c r="B664" t="s">
        <v>153</v>
      </c>
      <c r="C664">
        <v>113501</v>
      </c>
      <c r="D664" t="s">
        <v>278</v>
      </c>
      <c r="E664">
        <v>-40</v>
      </c>
      <c r="F664">
        <v>120.03</v>
      </c>
      <c r="G664">
        <v>4801.18</v>
      </c>
    </row>
    <row r="665" spans="1:7" x14ac:dyDescent="0.25">
      <c r="A665">
        <v>20141224</v>
      </c>
      <c r="B665" t="s">
        <v>177</v>
      </c>
      <c r="C665">
        <v>734017</v>
      </c>
      <c r="D665" t="s">
        <v>191</v>
      </c>
      <c r="E665">
        <v>-6000</v>
      </c>
      <c r="F665">
        <v>29.97</v>
      </c>
      <c r="G665">
        <v>179820</v>
      </c>
    </row>
    <row r="666" spans="1:7" x14ac:dyDescent="0.25">
      <c r="A666">
        <v>20141224</v>
      </c>
      <c r="B666" t="s">
        <v>177</v>
      </c>
      <c r="C666">
        <v>734636</v>
      </c>
      <c r="D666" t="s">
        <v>191</v>
      </c>
      <c r="E666">
        <v>-10000</v>
      </c>
      <c r="F666">
        <v>14.95</v>
      </c>
      <c r="G666">
        <v>149500</v>
      </c>
    </row>
    <row r="667" spans="1:7" x14ac:dyDescent="0.25">
      <c r="A667">
        <v>20141224</v>
      </c>
      <c r="B667" t="s">
        <v>176</v>
      </c>
      <c r="C667">
        <v>736889</v>
      </c>
      <c r="D667" t="s">
        <v>289</v>
      </c>
      <c r="E667">
        <v>10</v>
      </c>
      <c r="F667">
        <v>0</v>
      </c>
      <c r="G667">
        <v>0</v>
      </c>
    </row>
    <row r="668" spans="1:7" x14ac:dyDescent="0.25">
      <c r="A668">
        <v>20141224</v>
      </c>
      <c r="B668" t="s">
        <v>219</v>
      </c>
      <c r="C668">
        <v>110018</v>
      </c>
      <c r="D668" t="s">
        <v>178</v>
      </c>
      <c r="E668">
        <v>-680</v>
      </c>
      <c r="F668">
        <v>0</v>
      </c>
      <c r="G668">
        <v>0</v>
      </c>
    </row>
    <row r="669" spans="1:7" x14ac:dyDescent="0.25">
      <c r="A669">
        <v>20141224</v>
      </c>
      <c r="B669" t="s">
        <v>219</v>
      </c>
      <c r="C669">
        <v>600795</v>
      </c>
      <c r="D669" t="s">
        <v>220</v>
      </c>
      <c r="E669">
        <v>29955</v>
      </c>
      <c r="F669">
        <v>0</v>
      </c>
      <c r="G669">
        <v>0</v>
      </c>
    </row>
    <row r="670" spans="1:7" x14ac:dyDescent="0.25">
      <c r="A670">
        <v>20141224</v>
      </c>
      <c r="B670" t="s">
        <v>219</v>
      </c>
      <c r="C670">
        <v>190018</v>
      </c>
      <c r="D670" t="s">
        <v>221</v>
      </c>
      <c r="E670">
        <v>0</v>
      </c>
      <c r="F670">
        <v>0</v>
      </c>
      <c r="G670">
        <v>2.15</v>
      </c>
    </row>
    <row r="671" spans="1:7" x14ac:dyDescent="0.25">
      <c r="A671">
        <v>20141224</v>
      </c>
      <c r="B671" t="s">
        <v>147</v>
      </c>
      <c r="C671">
        <v>601988</v>
      </c>
      <c r="D671" t="s">
        <v>262</v>
      </c>
      <c r="E671">
        <v>31500</v>
      </c>
      <c r="F671">
        <v>3.7</v>
      </c>
      <c r="G671">
        <v>-116615.52</v>
      </c>
    </row>
    <row r="672" spans="1:7" x14ac:dyDescent="0.25">
      <c r="A672">
        <v>20141224</v>
      </c>
      <c r="B672" t="s">
        <v>147</v>
      </c>
      <c r="C672">
        <v>110015</v>
      </c>
      <c r="D672" t="s">
        <v>158</v>
      </c>
      <c r="E672">
        <v>3000</v>
      </c>
      <c r="F672">
        <v>124</v>
      </c>
      <c r="G672">
        <v>-372074.4</v>
      </c>
    </row>
    <row r="673" spans="1:7" x14ac:dyDescent="0.25">
      <c r="A673">
        <v>20141224</v>
      </c>
      <c r="B673" t="s">
        <v>153</v>
      </c>
      <c r="C673">
        <v>601318</v>
      </c>
      <c r="D673" t="s">
        <v>261</v>
      </c>
      <c r="E673">
        <v>-1500</v>
      </c>
      <c r="F673">
        <v>61.127000000000002</v>
      </c>
      <c r="G673">
        <v>91560.73</v>
      </c>
    </row>
    <row r="674" spans="1:7" x14ac:dyDescent="0.25">
      <c r="A674">
        <v>20141224</v>
      </c>
      <c r="B674" t="s">
        <v>147</v>
      </c>
      <c r="C674">
        <v>113005</v>
      </c>
      <c r="D674" t="s">
        <v>159</v>
      </c>
      <c r="E674">
        <v>610</v>
      </c>
      <c r="F674">
        <v>146.19499999999999</v>
      </c>
      <c r="G674">
        <v>-89196.94</v>
      </c>
    </row>
    <row r="675" spans="1:7" x14ac:dyDescent="0.25">
      <c r="A675">
        <v>20141224</v>
      </c>
      <c r="B675" t="s">
        <v>147</v>
      </c>
      <c r="C675">
        <v>110015</v>
      </c>
      <c r="D675" t="s">
        <v>158</v>
      </c>
      <c r="E675">
        <v>1000</v>
      </c>
      <c r="F675">
        <v>121</v>
      </c>
      <c r="G675">
        <v>-121024.2</v>
      </c>
    </row>
    <row r="676" spans="1:7" x14ac:dyDescent="0.25">
      <c r="A676">
        <v>20141224</v>
      </c>
      <c r="B676" t="s">
        <v>147</v>
      </c>
      <c r="C676">
        <v>113005</v>
      </c>
      <c r="D676" t="s">
        <v>159</v>
      </c>
      <c r="E676">
        <v>800</v>
      </c>
      <c r="F676">
        <v>144.5</v>
      </c>
      <c r="G676">
        <v>-115623.12</v>
      </c>
    </row>
    <row r="677" spans="1:7" x14ac:dyDescent="0.25">
      <c r="A677">
        <v>20141224</v>
      </c>
      <c r="B677" t="s">
        <v>147</v>
      </c>
      <c r="C677">
        <v>110023</v>
      </c>
      <c r="D677" t="s">
        <v>156</v>
      </c>
      <c r="E677">
        <v>1000</v>
      </c>
      <c r="F677">
        <v>124</v>
      </c>
      <c r="G677">
        <v>-124024.8</v>
      </c>
    </row>
    <row r="678" spans="1:7" x14ac:dyDescent="0.25">
      <c r="A678">
        <v>20141224</v>
      </c>
      <c r="B678" t="s">
        <v>177</v>
      </c>
      <c r="C678">
        <v>734636</v>
      </c>
      <c r="D678" t="s">
        <v>191</v>
      </c>
      <c r="E678">
        <v>-10000</v>
      </c>
      <c r="F678">
        <v>14.95</v>
      </c>
      <c r="G678">
        <v>149500</v>
      </c>
    </row>
    <row r="679" spans="1:7" x14ac:dyDescent="0.25">
      <c r="A679">
        <v>20141224</v>
      </c>
      <c r="B679" t="s">
        <v>177</v>
      </c>
      <c r="C679">
        <v>734017</v>
      </c>
      <c r="D679" t="s">
        <v>191</v>
      </c>
      <c r="E679">
        <v>-6000</v>
      </c>
      <c r="F679">
        <v>29.97</v>
      </c>
      <c r="G679">
        <v>179820</v>
      </c>
    </row>
    <row r="680" spans="1:7" x14ac:dyDescent="0.25">
      <c r="A680">
        <v>20141224</v>
      </c>
      <c r="B680" t="s">
        <v>176</v>
      </c>
      <c r="C680">
        <v>736889</v>
      </c>
      <c r="D680" t="s">
        <v>289</v>
      </c>
      <c r="E680">
        <v>10</v>
      </c>
      <c r="F680">
        <v>17.95</v>
      </c>
      <c r="G680">
        <v>0</v>
      </c>
    </row>
    <row r="681" spans="1:7" x14ac:dyDescent="0.25">
      <c r="A681">
        <v>20141224</v>
      </c>
      <c r="B681" t="s">
        <v>219</v>
      </c>
      <c r="C681">
        <v>601318</v>
      </c>
      <c r="D681" t="s">
        <v>261</v>
      </c>
      <c r="E681">
        <v>1479</v>
      </c>
      <c r="F681">
        <v>60.71</v>
      </c>
      <c r="G681">
        <v>0</v>
      </c>
    </row>
    <row r="682" spans="1:7" x14ac:dyDescent="0.25">
      <c r="A682">
        <v>20141224</v>
      </c>
      <c r="B682" t="s">
        <v>219</v>
      </c>
      <c r="C682">
        <v>191005</v>
      </c>
      <c r="D682" t="s">
        <v>290</v>
      </c>
      <c r="E682">
        <v>-610</v>
      </c>
      <c r="F682">
        <v>100</v>
      </c>
      <c r="G682">
        <v>35.619999999999997</v>
      </c>
    </row>
    <row r="683" spans="1:7" x14ac:dyDescent="0.25">
      <c r="A683">
        <v>20141224</v>
      </c>
      <c r="B683" t="s">
        <v>219</v>
      </c>
      <c r="C683">
        <v>113005</v>
      </c>
      <c r="D683" t="s">
        <v>159</v>
      </c>
      <c r="E683">
        <v>-610</v>
      </c>
      <c r="F683">
        <v>145.6</v>
      </c>
      <c r="G683">
        <v>0</v>
      </c>
    </row>
    <row r="684" spans="1:7" x14ac:dyDescent="0.25">
      <c r="A684">
        <v>20141224</v>
      </c>
      <c r="B684" t="s">
        <v>225</v>
      </c>
      <c r="C684">
        <v>161024</v>
      </c>
      <c r="D684" t="s">
        <v>256</v>
      </c>
      <c r="E684">
        <v>-4015</v>
      </c>
      <c r="F684">
        <v>0.98699999999999999</v>
      </c>
      <c r="G684">
        <v>0</v>
      </c>
    </row>
    <row r="685" spans="1:7" x14ac:dyDescent="0.25">
      <c r="A685">
        <v>20141224</v>
      </c>
      <c r="B685" t="s">
        <v>226</v>
      </c>
      <c r="C685">
        <v>540</v>
      </c>
      <c r="D685" t="s">
        <v>224</v>
      </c>
      <c r="E685">
        <v>0.05</v>
      </c>
      <c r="F685">
        <v>1</v>
      </c>
      <c r="G685">
        <v>0</v>
      </c>
    </row>
    <row r="686" spans="1:7" x14ac:dyDescent="0.25">
      <c r="A686">
        <v>20141225</v>
      </c>
      <c r="B686" t="s">
        <v>226</v>
      </c>
      <c r="C686">
        <v>540</v>
      </c>
      <c r="D686" t="s">
        <v>224</v>
      </c>
      <c r="E686">
        <v>105.17</v>
      </c>
      <c r="F686">
        <v>1</v>
      </c>
      <c r="G686">
        <v>0</v>
      </c>
    </row>
    <row r="687" spans="1:7" x14ac:dyDescent="0.25">
      <c r="A687">
        <v>20141225</v>
      </c>
      <c r="B687" t="s">
        <v>223</v>
      </c>
      <c r="C687">
        <v>540</v>
      </c>
      <c r="D687" t="s">
        <v>224</v>
      </c>
      <c r="E687">
        <v>322182.03999999998</v>
      </c>
      <c r="F687">
        <v>1</v>
      </c>
      <c r="G687">
        <v>-322182.03999999998</v>
      </c>
    </row>
    <row r="688" spans="1:7" x14ac:dyDescent="0.25">
      <c r="A688">
        <v>20141225</v>
      </c>
      <c r="B688" t="s">
        <v>147</v>
      </c>
      <c r="C688">
        <v>110015</v>
      </c>
      <c r="D688" t="s">
        <v>158</v>
      </c>
      <c r="E688">
        <v>900</v>
      </c>
      <c r="F688">
        <v>122.5</v>
      </c>
      <c r="G688">
        <v>-110250.55</v>
      </c>
    </row>
    <row r="689" spans="1:7" x14ac:dyDescent="0.25">
      <c r="A689">
        <v>20141225</v>
      </c>
      <c r="B689" t="s">
        <v>153</v>
      </c>
      <c r="C689">
        <v>600028</v>
      </c>
      <c r="D689" t="s">
        <v>167</v>
      </c>
      <c r="E689">
        <v>-17500</v>
      </c>
      <c r="F689">
        <v>5.9</v>
      </c>
      <c r="G689">
        <v>103110.44</v>
      </c>
    </row>
    <row r="690" spans="1:7" x14ac:dyDescent="0.25">
      <c r="A690">
        <v>20141225</v>
      </c>
      <c r="B690" t="s">
        <v>177</v>
      </c>
      <c r="C690">
        <v>734889</v>
      </c>
      <c r="D690" t="s">
        <v>191</v>
      </c>
      <c r="E690">
        <v>-10000</v>
      </c>
      <c r="F690">
        <v>17.95</v>
      </c>
      <c r="G690">
        <v>179500</v>
      </c>
    </row>
    <row r="691" spans="1:7" x14ac:dyDescent="0.25">
      <c r="A691">
        <v>20141225</v>
      </c>
      <c r="B691" t="s">
        <v>219</v>
      </c>
      <c r="C691">
        <v>110015</v>
      </c>
      <c r="D691" t="s">
        <v>158</v>
      </c>
      <c r="E691">
        <v>-900</v>
      </c>
      <c r="F691">
        <v>0</v>
      </c>
      <c r="G691">
        <v>0</v>
      </c>
    </row>
    <row r="692" spans="1:7" x14ac:dyDescent="0.25">
      <c r="A692">
        <v>20141225</v>
      </c>
      <c r="B692" t="s">
        <v>219</v>
      </c>
      <c r="C692">
        <v>600028</v>
      </c>
      <c r="D692" t="s">
        <v>167</v>
      </c>
      <c r="E692">
        <v>18404</v>
      </c>
      <c r="F692">
        <v>0</v>
      </c>
      <c r="G692">
        <v>0</v>
      </c>
    </row>
    <row r="693" spans="1:7" x14ac:dyDescent="0.25">
      <c r="A693">
        <v>20141225</v>
      </c>
      <c r="B693" t="s">
        <v>219</v>
      </c>
      <c r="C693">
        <v>190015</v>
      </c>
      <c r="D693" t="s">
        <v>253</v>
      </c>
      <c r="E693">
        <v>0</v>
      </c>
      <c r="F693">
        <v>0</v>
      </c>
      <c r="G693">
        <v>4.4400000000000004</v>
      </c>
    </row>
    <row r="694" spans="1:7" x14ac:dyDescent="0.25">
      <c r="A694">
        <v>20141225</v>
      </c>
      <c r="B694" t="s">
        <v>153</v>
      </c>
      <c r="C694">
        <v>601988</v>
      </c>
      <c r="D694" t="s">
        <v>262</v>
      </c>
      <c r="E694">
        <v>-35000</v>
      </c>
      <c r="F694">
        <v>3.71</v>
      </c>
      <c r="G694">
        <v>129647.22</v>
      </c>
    </row>
    <row r="695" spans="1:7" x14ac:dyDescent="0.25">
      <c r="A695">
        <v>20141225</v>
      </c>
      <c r="B695" t="s">
        <v>147</v>
      </c>
      <c r="C695">
        <v>113001</v>
      </c>
      <c r="D695" t="s">
        <v>179</v>
      </c>
      <c r="E695">
        <v>850</v>
      </c>
      <c r="F695">
        <v>138.99</v>
      </c>
      <c r="G695">
        <v>-118165.13</v>
      </c>
    </row>
    <row r="696" spans="1:7" x14ac:dyDescent="0.25">
      <c r="A696">
        <v>20141225</v>
      </c>
      <c r="B696" t="s">
        <v>147</v>
      </c>
      <c r="C696">
        <v>110025</v>
      </c>
      <c r="D696" t="s">
        <v>291</v>
      </c>
      <c r="E696">
        <v>400</v>
      </c>
      <c r="F696">
        <v>183</v>
      </c>
      <c r="G696">
        <v>-73214.64</v>
      </c>
    </row>
    <row r="697" spans="1:7" x14ac:dyDescent="0.25">
      <c r="A697">
        <v>20141225</v>
      </c>
      <c r="B697" t="s">
        <v>177</v>
      </c>
      <c r="C697">
        <v>734889</v>
      </c>
      <c r="D697" t="s">
        <v>191</v>
      </c>
      <c r="E697">
        <v>-10000</v>
      </c>
      <c r="F697">
        <v>17.95</v>
      </c>
      <c r="G697">
        <v>179500</v>
      </c>
    </row>
    <row r="698" spans="1:7" x14ac:dyDescent="0.25">
      <c r="A698">
        <v>20141225</v>
      </c>
      <c r="B698" t="s">
        <v>219</v>
      </c>
      <c r="C698">
        <v>600109</v>
      </c>
      <c r="D698" t="s">
        <v>292</v>
      </c>
      <c r="E698">
        <v>4004</v>
      </c>
      <c r="F698">
        <v>18.84</v>
      </c>
      <c r="G698">
        <v>0</v>
      </c>
    </row>
    <row r="699" spans="1:7" x14ac:dyDescent="0.25">
      <c r="A699">
        <v>20141225</v>
      </c>
      <c r="B699" t="s">
        <v>219</v>
      </c>
      <c r="C699">
        <v>190025</v>
      </c>
      <c r="D699" t="s">
        <v>293</v>
      </c>
      <c r="E699">
        <v>-400</v>
      </c>
      <c r="F699">
        <v>100</v>
      </c>
      <c r="G699">
        <v>0.04</v>
      </c>
    </row>
    <row r="700" spans="1:7" x14ac:dyDescent="0.25">
      <c r="A700">
        <v>20141225</v>
      </c>
      <c r="B700" t="s">
        <v>219</v>
      </c>
      <c r="C700">
        <v>110025</v>
      </c>
      <c r="D700" t="s">
        <v>291</v>
      </c>
      <c r="E700">
        <v>-400</v>
      </c>
      <c r="F700">
        <v>185.67</v>
      </c>
      <c r="G700">
        <v>0</v>
      </c>
    </row>
    <row r="701" spans="1:7" x14ac:dyDescent="0.25">
      <c r="A701">
        <v>20141225</v>
      </c>
      <c r="B701" t="s">
        <v>219</v>
      </c>
      <c r="C701">
        <v>191001</v>
      </c>
      <c r="D701" t="s">
        <v>294</v>
      </c>
      <c r="E701">
        <v>-850</v>
      </c>
      <c r="F701">
        <v>100</v>
      </c>
      <c r="G701">
        <v>1.96</v>
      </c>
    </row>
    <row r="702" spans="1:7" x14ac:dyDescent="0.25">
      <c r="A702">
        <v>20141225</v>
      </c>
      <c r="B702" t="s">
        <v>219</v>
      </c>
      <c r="C702">
        <v>601988</v>
      </c>
      <c r="D702" t="s">
        <v>262</v>
      </c>
      <c r="E702">
        <v>32442</v>
      </c>
      <c r="F702">
        <v>3.72</v>
      </c>
      <c r="G702">
        <v>0</v>
      </c>
    </row>
    <row r="703" spans="1:7" x14ac:dyDescent="0.25">
      <c r="A703">
        <v>20141225</v>
      </c>
      <c r="B703" t="s">
        <v>219</v>
      </c>
      <c r="C703">
        <v>113001</v>
      </c>
      <c r="D703" t="s">
        <v>179</v>
      </c>
      <c r="E703">
        <v>-850</v>
      </c>
      <c r="F703">
        <v>139.99</v>
      </c>
      <c r="G703">
        <v>0</v>
      </c>
    </row>
    <row r="704" spans="1:7" x14ac:dyDescent="0.25">
      <c r="A704">
        <v>20141225</v>
      </c>
      <c r="B704" t="s">
        <v>219</v>
      </c>
      <c r="C704">
        <v>601318</v>
      </c>
      <c r="D704" t="s">
        <v>261</v>
      </c>
      <c r="E704">
        <v>8005</v>
      </c>
      <c r="F704">
        <v>63.41</v>
      </c>
      <c r="G704">
        <v>0</v>
      </c>
    </row>
    <row r="705" spans="1:9" x14ac:dyDescent="0.25">
      <c r="A705">
        <v>20141225</v>
      </c>
      <c r="B705" t="s">
        <v>219</v>
      </c>
      <c r="C705">
        <v>113005</v>
      </c>
      <c r="D705" t="s">
        <v>159</v>
      </c>
      <c r="E705">
        <v>-3300</v>
      </c>
      <c r="F705">
        <v>152.94</v>
      </c>
      <c r="G705">
        <v>0</v>
      </c>
    </row>
    <row r="706" spans="1:9" x14ac:dyDescent="0.25">
      <c r="A706">
        <v>20141225</v>
      </c>
      <c r="B706" t="s">
        <v>219</v>
      </c>
      <c r="C706">
        <v>191005</v>
      </c>
      <c r="D706" t="s">
        <v>290</v>
      </c>
      <c r="E706">
        <v>-3300</v>
      </c>
      <c r="F706">
        <v>100</v>
      </c>
      <c r="G706">
        <v>33.9</v>
      </c>
    </row>
    <row r="707" spans="1:9" x14ac:dyDescent="0.25">
      <c r="A707">
        <v>20141225</v>
      </c>
      <c r="B707" t="s">
        <v>227</v>
      </c>
      <c r="C707">
        <v>161024</v>
      </c>
      <c r="D707" t="s">
        <v>256</v>
      </c>
      <c r="E707">
        <v>0</v>
      </c>
      <c r="F707">
        <v>0.98699999999999999</v>
      </c>
      <c r="G707">
        <v>3943</v>
      </c>
    </row>
    <row r="708" spans="1:9" x14ac:dyDescent="0.25">
      <c r="A708">
        <v>20141225</v>
      </c>
      <c r="B708" t="s">
        <v>226</v>
      </c>
      <c r="C708">
        <v>540</v>
      </c>
      <c r="D708" t="s">
        <v>224</v>
      </c>
      <c r="E708">
        <v>0.04</v>
      </c>
      <c r="F708">
        <v>1</v>
      </c>
      <c r="G708">
        <v>0</v>
      </c>
      <c r="H708" t="s">
        <v>295</v>
      </c>
      <c r="I708">
        <v>2729957</v>
      </c>
    </row>
    <row r="709" spans="1:9" x14ac:dyDescent="0.25">
      <c r="A709">
        <v>20141226</v>
      </c>
      <c r="B709" t="s">
        <v>226</v>
      </c>
      <c r="C709">
        <v>540</v>
      </c>
      <c r="D709" t="s">
        <v>224</v>
      </c>
      <c r="E709">
        <v>433.79</v>
      </c>
      <c r="F709">
        <v>1</v>
      </c>
      <c r="G709">
        <v>0</v>
      </c>
      <c r="I709">
        <v>1040000</v>
      </c>
    </row>
    <row r="710" spans="1:9" x14ac:dyDescent="0.25">
      <c r="A710">
        <v>20141226</v>
      </c>
      <c r="B710" t="s">
        <v>223</v>
      </c>
      <c r="C710">
        <v>540</v>
      </c>
      <c r="D710" t="s">
        <v>224</v>
      </c>
      <c r="E710">
        <v>179504.84</v>
      </c>
      <c r="F710">
        <v>1</v>
      </c>
      <c r="G710">
        <v>-179504.84</v>
      </c>
      <c r="I710">
        <v>1607079</v>
      </c>
    </row>
    <row r="711" spans="1:9" x14ac:dyDescent="0.25">
      <c r="A711">
        <v>20141226</v>
      </c>
      <c r="B711" t="s">
        <v>226</v>
      </c>
      <c r="C711">
        <v>540</v>
      </c>
      <c r="D711" t="s">
        <v>224</v>
      </c>
      <c r="E711">
        <v>0.12</v>
      </c>
      <c r="F711">
        <v>1</v>
      </c>
      <c r="G711">
        <v>0</v>
      </c>
      <c r="H711" s="1" t="s">
        <v>296</v>
      </c>
      <c r="I711">
        <f>SUM(I708:I710)</f>
        <v>5377036</v>
      </c>
    </row>
    <row r="712" spans="1:9" x14ac:dyDescent="0.25">
      <c r="A712">
        <v>20141229</v>
      </c>
      <c r="B712" t="s">
        <v>226</v>
      </c>
      <c r="C712">
        <v>540</v>
      </c>
      <c r="D712" t="s">
        <v>224</v>
      </c>
      <c r="E712">
        <v>0.04</v>
      </c>
      <c r="F712">
        <v>1</v>
      </c>
      <c r="G712">
        <v>0</v>
      </c>
      <c r="H712" t="s">
        <v>297</v>
      </c>
      <c r="I712">
        <f>SUMIF(B1:B3500,"银行转存",G1:G3500)+SUMIF(B1:B3500,"银行转取",G1:G3500)</f>
        <v>4049210.5500000007</v>
      </c>
    </row>
    <row r="713" spans="1:9" x14ac:dyDescent="0.25">
      <c r="H713" s="1" t="s">
        <v>1</v>
      </c>
      <c r="I713">
        <f>I711-I712</f>
        <v>1327825.4499999993</v>
      </c>
    </row>
    <row r="714" spans="1:9" x14ac:dyDescent="0.25">
      <c r="H714" s="1" t="s">
        <v>298</v>
      </c>
      <c r="I714" s="36">
        <f>I713/I712</f>
        <v>0.3279220563129272</v>
      </c>
    </row>
  </sheetData>
  <autoFilter ref="A1:H714" xr:uid="{00000000-0009-0000-0000-000002000000}">
    <sortState xmlns:xlrd2="http://schemas.microsoft.com/office/spreadsheetml/2017/richdata2" ref="A2:H714">
      <sortCondition ref="A1:A714"/>
    </sortState>
  </autoFilter>
  <customSheetViews>
    <customSheetView guid="{1E41C6D1-1FF2-4EDC-93A7-39FD0856DDAE}" showAutoFilter="1" state="hidden">
      <pane ySplit="1" topLeftCell="A677" activePane="bottomLeft" state="frozen"/>
      <selection pane="bottomLeft" activeCell="I708" sqref="I708:I710"/>
      <pageMargins left="0.75" right="0.75" top="1" bottom="1" header="0.51" footer="0.51"/>
      <pageSetup paperSize="9" orientation="portrait" verticalDpi="0"/>
      <headerFooter alignWithMargins="0"/>
      <autoFilter ref="B1:I1" xr:uid="{00000000-0000-0000-0000-000000000000}"/>
    </customSheetView>
    <customSheetView guid="{2C754312-9D31-43A1-8D1D-F4080D321E7F}" showAutoFilter="1" state="hidden">
      <pane ySplit="1" topLeftCell="A677" activePane="bottomLeft" state="frozen"/>
      <selection pane="bottomLeft" activeCell="I708" sqref="I708:I710"/>
      <pageMargins left="0.75" right="0.75" top="1" bottom="1" header="0.51" footer="0.51"/>
      <pageSetup paperSize="9" orientation="portrait" verticalDpi="0"/>
      <headerFooter alignWithMargins="0"/>
      <autoFilter ref="A1:H714" xr:uid="{00000000-0000-0000-0000-000000000000}">
        <sortState xmlns:xlrd2="http://schemas.microsoft.com/office/spreadsheetml/2017/richdata2" ref="A2:H714">
          <sortCondition ref="A1:A714"/>
        </sortState>
      </autoFilter>
    </customSheetView>
  </customSheetViews>
  <phoneticPr fontId="3" type="noConversion"/>
  <pageMargins left="0.75" right="0.75" top="1" bottom="1" header="0.51" footer="0.51"/>
  <pageSetup paperSize="9" orientation="portrait" verticalDpi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"/>
  <sheetViews>
    <sheetView workbookViewId="0">
      <selection activeCell="H35" sqref="H35"/>
    </sheetView>
  </sheetViews>
  <sheetFormatPr defaultColWidth="9" defaultRowHeight="15.6" x14ac:dyDescent="0.25"/>
  <sheetData>
    <row r="1" spans="1:8" x14ac:dyDescent="0.25">
      <c r="A1" t="s">
        <v>0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>
        <v>78000</v>
      </c>
    </row>
    <row r="2" spans="1:8" x14ac:dyDescent="0.25">
      <c r="A2">
        <v>20140526</v>
      </c>
      <c r="B2">
        <v>0</v>
      </c>
      <c r="C2" t="s">
        <v>146</v>
      </c>
      <c r="D2">
        <v>0</v>
      </c>
      <c r="E2">
        <v>0</v>
      </c>
      <c r="F2">
        <v>78000</v>
      </c>
      <c r="G2" t="s">
        <v>305</v>
      </c>
      <c r="H2">
        <v>92100</v>
      </c>
    </row>
    <row r="3" spans="1:8" x14ac:dyDescent="0.25">
      <c r="A3">
        <v>20140526</v>
      </c>
      <c r="B3">
        <v>1211</v>
      </c>
      <c r="C3" t="s">
        <v>306</v>
      </c>
      <c r="D3">
        <v>2000</v>
      </c>
      <c r="E3">
        <v>39</v>
      </c>
      <c r="F3">
        <v>-78000</v>
      </c>
      <c r="G3" t="s">
        <v>1</v>
      </c>
      <c r="H3" s="18">
        <v>0.18079999999999999</v>
      </c>
    </row>
  </sheetData>
  <customSheetViews>
    <customSheetView guid="{1E41C6D1-1FF2-4EDC-93A7-39FD0856DDAE}" state="hidden">
      <selection activeCell="H35" sqref="H35"/>
      <pageMargins left="0.7" right="0.7" top="0.75" bottom="0.75" header="0.3" footer="0.3"/>
    </customSheetView>
    <customSheetView guid="{2C754312-9D31-43A1-8D1D-F4080D321E7F}" state="hidden">
      <selection activeCell="H35" sqref="H35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8"/>
  <sheetViews>
    <sheetView zoomScaleSheetLayoutView="100" workbookViewId="0">
      <selection activeCell="A40" sqref="A40"/>
    </sheetView>
  </sheetViews>
  <sheetFormatPr defaultColWidth="9" defaultRowHeight="15.6" x14ac:dyDescent="0.25"/>
  <cols>
    <col min="1" max="1" width="11.59765625" bestFit="1" customWidth="1"/>
    <col min="2" max="2" width="11.5" bestFit="1" customWidth="1"/>
    <col min="3" max="3" width="9.3984375" bestFit="1" customWidth="1"/>
    <col min="4" max="4" width="9" customWidth="1"/>
    <col min="5" max="6" width="10.59765625" customWidth="1"/>
    <col min="7" max="7" width="9.19921875" customWidth="1"/>
  </cols>
  <sheetData>
    <row r="1" spans="1:7" x14ac:dyDescent="0.25">
      <c r="A1" s="29" t="s">
        <v>0</v>
      </c>
      <c r="B1" s="29" t="s">
        <v>307</v>
      </c>
      <c r="C1" s="29" t="s">
        <v>308</v>
      </c>
      <c r="D1" s="29" t="s">
        <v>309</v>
      </c>
      <c r="E1" s="29" t="s">
        <v>1</v>
      </c>
    </row>
    <row r="2" spans="1:7" x14ac:dyDescent="0.25">
      <c r="A2" s="84">
        <v>42239</v>
      </c>
      <c r="B2" s="85">
        <v>3138588</v>
      </c>
      <c r="C2" s="85">
        <v>3650751</v>
      </c>
      <c r="D2" s="85" t="s">
        <v>8</v>
      </c>
      <c r="E2" s="85" t="s">
        <v>8</v>
      </c>
    </row>
    <row r="3" spans="1:7" x14ac:dyDescent="0.25">
      <c r="A3" s="84">
        <v>42337</v>
      </c>
      <c r="B3" s="85">
        <v>0</v>
      </c>
      <c r="C3" s="85">
        <v>4889446</v>
      </c>
      <c r="D3" s="85" t="s">
        <v>8</v>
      </c>
      <c r="E3" s="85" t="s">
        <v>8</v>
      </c>
    </row>
    <row r="4" spans="1:7" x14ac:dyDescent="0.25">
      <c r="A4" s="84">
        <v>42364</v>
      </c>
      <c r="B4" s="85">
        <v>-2000000</v>
      </c>
      <c r="C4" s="85">
        <v>2941012</v>
      </c>
      <c r="D4" s="85">
        <v>2481019</v>
      </c>
      <c r="E4" s="86">
        <f t="shared" ref="E4:E9" si="0">C4-(C3+B4)</f>
        <v>51566</v>
      </c>
    </row>
    <row r="5" spans="1:7" x14ac:dyDescent="0.25">
      <c r="A5" s="84">
        <v>42401</v>
      </c>
      <c r="B5" s="85">
        <v>550000</v>
      </c>
      <c r="C5" s="85">
        <v>3484374</v>
      </c>
      <c r="D5" s="85">
        <v>3000000</v>
      </c>
      <c r="E5" s="86">
        <f t="shared" si="0"/>
        <v>-6638</v>
      </c>
    </row>
    <row r="6" spans="1:7" x14ac:dyDescent="0.25">
      <c r="A6" s="84">
        <v>42427</v>
      </c>
      <c r="B6" s="85">
        <v>-480000</v>
      </c>
      <c r="C6" s="85">
        <v>3006276</v>
      </c>
      <c r="D6" s="85">
        <v>2525439</v>
      </c>
      <c r="E6" s="86">
        <f t="shared" si="0"/>
        <v>1902</v>
      </c>
    </row>
    <row r="7" spans="1:7" x14ac:dyDescent="0.25">
      <c r="A7" s="84">
        <v>42460</v>
      </c>
      <c r="B7" s="85">
        <v>2010000</v>
      </c>
      <c r="C7" s="85">
        <v>5070691</v>
      </c>
      <c r="D7" s="85">
        <v>4610000</v>
      </c>
      <c r="E7" s="86">
        <f t="shared" si="0"/>
        <v>54415</v>
      </c>
    </row>
    <row r="8" spans="1:7" x14ac:dyDescent="0.25">
      <c r="A8" s="84">
        <v>42490</v>
      </c>
      <c r="B8" s="85">
        <v>605000</v>
      </c>
      <c r="C8" s="85">
        <v>5694078</v>
      </c>
      <c r="D8" s="85">
        <v>4806625</v>
      </c>
      <c r="E8" s="86">
        <f t="shared" si="0"/>
        <v>18387</v>
      </c>
    </row>
    <row r="9" spans="1:7" x14ac:dyDescent="0.25">
      <c r="A9" s="84">
        <v>42520</v>
      </c>
      <c r="B9" s="85">
        <v>750000</v>
      </c>
      <c r="C9" s="85">
        <v>6527542</v>
      </c>
      <c r="D9" s="85">
        <v>1993968</v>
      </c>
      <c r="E9" s="86">
        <f t="shared" si="0"/>
        <v>83464</v>
      </c>
    </row>
    <row r="10" spans="1:7" x14ac:dyDescent="0.25">
      <c r="A10" s="84">
        <v>42551</v>
      </c>
      <c r="B10" s="85">
        <v>1850000</v>
      </c>
      <c r="C10" s="85">
        <v>8570736</v>
      </c>
      <c r="D10" s="85">
        <v>3841839</v>
      </c>
      <c r="E10" s="86">
        <f t="shared" ref="E10:E15" si="1">C10-(C9+B10)</f>
        <v>193194</v>
      </c>
    </row>
    <row r="11" spans="1:7" x14ac:dyDescent="0.25">
      <c r="A11" s="84">
        <v>42581</v>
      </c>
      <c r="B11" s="85">
        <v>-1000000</v>
      </c>
      <c r="C11" s="85">
        <v>7701816</v>
      </c>
      <c r="D11" s="85">
        <v>2789824</v>
      </c>
      <c r="E11" s="86">
        <f t="shared" si="1"/>
        <v>131080</v>
      </c>
    </row>
    <row r="12" spans="1:7" x14ac:dyDescent="0.25">
      <c r="A12" s="84">
        <v>42609</v>
      </c>
      <c r="B12" s="85">
        <v>-350000</v>
      </c>
      <c r="C12" s="85">
        <v>7552014</v>
      </c>
      <c r="D12" s="85">
        <v>2179149</v>
      </c>
      <c r="E12" s="86">
        <f t="shared" si="1"/>
        <v>200198</v>
      </c>
    </row>
    <row r="13" spans="1:7" x14ac:dyDescent="0.25">
      <c r="A13" s="84">
        <v>42641</v>
      </c>
      <c r="B13" s="85">
        <v>0</v>
      </c>
      <c r="C13" s="85">
        <v>7636205</v>
      </c>
      <c r="D13" s="85">
        <v>1880845</v>
      </c>
      <c r="E13" s="86">
        <f t="shared" si="1"/>
        <v>84191</v>
      </c>
    </row>
    <row r="14" spans="1:7" x14ac:dyDescent="0.25">
      <c r="A14" s="84">
        <v>42670</v>
      </c>
      <c r="B14" s="85">
        <v>0</v>
      </c>
      <c r="C14" s="85">
        <v>7689409</v>
      </c>
      <c r="D14" s="85">
        <v>1297513</v>
      </c>
      <c r="E14" s="86">
        <f t="shared" si="1"/>
        <v>53204</v>
      </c>
      <c r="G14" s="78"/>
    </row>
    <row r="15" spans="1:7" x14ac:dyDescent="0.25">
      <c r="A15" s="84">
        <v>42704</v>
      </c>
      <c r="B15" s="87">
        <v>230000</v>
      </c>
      <c r="C15" s="85">
        <v>8134819</v>
      </c>
      <c r="D15" s="85">
        <v>1129000</v>
      </c>
      <c r="E15" s="86">
        <f t="shared" si="1"/>
        <v>215410</v>
      </c>
      <c r="G15" s="78"/>
    </row>
    <row r="16" spans="1:7" x14ac:dyDescent="0.25">
      <c r="A16" s="84">
        <v>42734</v>
      </c>
      <c r="B16" s="87">
        <v>-700000</v>
      </c>
      <c r="C16" s="85">
        <v>7185094</v>
      </c>
      <c r="D16" s="85">
        <v>5685000</v>
      </c>
      <c r="E16" s="86">
        <f>C16-(C15+B16)</f>
        <v>-249725</v>
      </c>
      <c r="G16" s="78"/>
    </row>
    <row r="17" spans="1:7" x14ac:dyDescent="0.25">
      <c r="A17" s="84">
        <v>42761</v>
      </c>
      <c r="B17" s="87">
        <v>-1670000</v>
      </c>
      <c r="C17" s="85">
        <v>5566373</v>
      </c>
      <c r="D17" s="85">
        <v>4020000</v>
      </c>
      <c r="E17" s="86">
        <f>C17-(C16+B17)</f>
        <v>51279</v>
      </c>
      <c r="G17" s="78"/>
    </row>
    <row r="18" spans="1:7" x14ac:dyDescent="0.25">
      <c r="F18" s="83"/>
    </row>
  </sheetData>
  <customSheetViews>
    <customSheetView guid="{1E41C6D1-1FF2-4EDC-93A7-39FD0856DDAE}" state="hidden">
      <selection activeCell="B17" sqref="B17"/>
      <pageMargins left="0.75" right="0.75" top="1" bottom="1" header="0.51" footer="0.51"/>
    </customSheetView>
    <customSheetView guid="{2C754312-9D31-43A1-8D1D-F4080D321E7F}" state="hidden">
      <selection activeCell="A40" sqref="A40"/>
      <pageMargins left="0.75" right="0.75" top="1" bottom="1" header="0.51" footer="0.51"/>
    </customSheetView>
  </customSheetViews>
  <phoneticPr fontId="3" type="noConversion"/>
  <pageMargins left="0.75" right="0.75" top="1" bottom="1" header="0.51" footer="0.5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17"/>
  <sheetViews>
    <sheetView zoomScaleSheetLayoutView="100" workbookViewId="0">
      <selection activeCell="I37" sqref="I37"/>
    </sheetView>
  </sheetViews>
  <sheetFormatPr defaultColWidth="9" defaultRowHeight="15.6" x14ac:dyDescent="0.25"/>
  <cols>
    <col min="1" max="1" width="11.59765625" bestFit="1" customWidth="1"/>
    <col min="2" max="2" width="11.5" bestFit="1" customWidth="1"/>
    <col min="3" max="3" width="9.3984375" bestFit="1" customWidth="1"/>
    <col min="5" max="6" width="9.3984375" bestFit="1" customWidth="1"/>
    <col min="10" max="10" width="10.3984375" bestFit="1" customWidth="1"/>
  </cols>
  <sheetData>
    <row r="1" spans="1:11" x14ac:dyDescent="0.25">
      <c r="A1" s="35" t="s">
        <v>0</v>
      </c>
      <c r="B1" s="35" t="s">
        <v>307</v>
      </c>
      <c r="C1" s="35" t="s">
        <v>308</v>
      </c>
      <c r="D1" s="35" t="s">
        <v>309</v>
      </c>
      <c r="E1" s="35" t="s">
        <v>1</v>
      </c>
      <c r="G1" s="81"/>
      <c r="H1" s="81"/>
      <c r="I1" s="81"/>
      <c r="J1" s="81"/>
      <c r="K1" s="81"/>
    </row>
    <row r="2" spans="1:11" x14ac:dyDescent="0.25">
      <c r="A2" s="22">
        <v>42239</v>
      </c>
      <c r="B2" s="24">
        <v>345066</v>
      </c>
      <c r="C2" s="24">
        <v>303951</v>
      </c>
      <c r="D2" s="24" t="s">
        <v>8</v>
      </c>
      <c r="E2" s="24" t="s">
        <v>8</v>
      </c>
      <c r="H2" s="82"/>
    </row>
    <row r="3" spans="1:11" x14ac:dyDescent="0.25">
      <c r="A3" s="22">
        <v>42337</v>
      </c>
      <c r="B3" s="24">
        <v>0</v>
      </c>
      <c r="C3" s="24">
        <v>140809</v>
      </c>
      <c r="D3" s="24" t="s">
        <v>8</v>
      </c>
      <c r="E3" s="24" t="s">
        <v>8</v>
      </c>
      <c r="H3" s="82"/>
    </row>
    <row r="4" spans="1:11" x14ac:dyDescent="0.25">
      <c r="A4" s="22">
        <v>42364</v>
      </c>
      <c r="B4" s="24">
        <v>1447000</v>
      </c>
      <c r="C4" s="24">
        <v>1612414</v>
      </c>
      <c r="D4" s="24">
        <v>1312179</v>
      </c>
      <c r="E4" s="31">
        <f t="shared" ref="E4:E9" si="0">C4-(C3+B4)</f>
        <v>24605</v>
      </c>
      <c r="H4" s="82"/>
    </row>
    <row r="5" spans="1:11" x14ac:dyDescent="0.25">
      <c r="A5" s="22">
        <v>42401</v>
      </c>
      <c r="B5" s="24">
        <v>0</v>
      </c>
      <c r="C5" s="24">
        <v>1496266</v>
      </c>
      <c r="D5" s="24">
        <v>0</v>
      </c>
      <c r="E5" s="31">
        <f t="shared" si="0"/>
        <v>-116148</v>
      </c>
    </row>
    <row r="6" spans="1:11" x14ac:dyDescent="0.25">
      <c r="A6" s="22">
        <v>42427</v>
      </c>
      <c r="B6" s="24">
        <v>0</v>
      </c>
      <c r="C6" s="24">
        <v>1500521</v>
      </c>
      <c r="D6" s="24">
        <v>771144</v>
      </c>
      <c r="E6" s="31">
        <f t="shared" si="0"/>
        <v>4255</v>
      </c>
      <c r="J6" s="2"/>
    </row>
    <row r="7" spans="1:11" x14ac:dyDescent="0.25">
      <c r="A7" s="22">
        <v>42460</v>
      </c>
      <c r="B7" s="31">
        <v>-700000</v>
      </c>
      <c r="C7" s="24">
        <v>872076</v>
      </c>
      <c r="D7" s="24">
        <v>70000</v>
      </c>
      <c r="E7" s="31">
        <f t="shared" si="0"/>
        <v>71555</v>
      </c>
    </row>
    <row r="8" spans="1:11" x14ac:dyDescent="0.25">
      <c r="A8" s="22">
        <v>42490</v>
      </c>
      <c r="B8" s="24">
        <v>0</v>
      </c>
      <c r="C8" s="24">
        <v>878141</v>
      </c>
      <c r="D8" s="24">
        <v>71745</v>
      </c>
      <c r="E8" s="31">
        <f t="shared" si="0"/>
        <v>6065</v>
      </c>
    </row>
    <row r="9" spans="1:11" x14ac:dyDescent="0.25">
      <c r="A9" s="22">
        <v>42520</v>
      </c>
      <c r="B9" s="24">
        <v>0</v>
      </c>
      <c r="C9" s="24">
        <v>861853</v>
      </c>
      <c r="D9" s="24">
        <v>0</v>
      </c>
      <c r="E9" s="31">
        <f t="shared" si="0"/>
        <v>-16288</v>
      </c>
    </row>
    <row r="10" spans="1:11" x14ac:dyDescent="0.25">
      <c r="A10" s="22">
        <v>42551</v>
      </c>
      <c r="B10" s="24">
        <v>0</v>
      </c>
      <c r="C10" s="24">
        <v>888410</v>
      </c>
      <c r="D10" s="24">
        <v>0</v>
      </c>
      <c r="E10" s="31">
        <f t="shared" ref="E10:E15" si="1">C10-(C9+B10)</f>
        <v>26557</v>
      </c>
    </row>
    <row r="11" spans="1:11" x14ac:dyDescent="0.25">
      <c r="A11" s="22">
        <v>42581</v>
      </c>
      <c r="B11" s="24">
        <v>0</v>
      </c>
      <c r="C11" s="24">
        <v>928050</v>
      </c>
      <c r="D11" s="24">
        <v>0</v>
      </c>
      <c r="E11" s="31">
        <f t="shared" si="1"/>
        <v>39640</v>
      </c>
    </row>
    <row r="12" spans="1:11" x14ac:dyDescent="0.25">
      <c r="A12" s="22">
        <v>42609</v>
      </c>
      <c r="B12" s="24">
        <v>0</v>
      </c>
      <c r="C12" s="24">
        <v>967618</v>
      </c>
      <c r="D12" s="24">
        <v>0</v>
      </c>
      <c r="E12" s="31">
        <f t="shared" si="1"/>
        <v>39568</v>
      </c>
    </row>
    <row r="13" spans="1:11" x14ac:dyDescent="0.25">
      <c r="A13" s="22">
        <v>42641</v>
      </c>
      <c r="B13" s="24">
        <v>25000</v>
      </c>
      <c r="C13" s="24">
        <v>1003582</v>
      </c>
      <c r="D13" s="24">
        <v>25000</v>
      </c>
      <c r="E13" s="31">
        <f t="shared" si="1"/>
        <v>10964</v>
      </c>
    </row>
    <row r="14" spans="1:11" x14ac:dyDescent="0.25">
      <c r="A14" s="22">
        <v>42670</v>
      </c>
      <c r="B14" s="24">
        <v>0</v>
      </c>
      <c r="C14" s="24">
        <v>1012847</v>
      </c>
      <c r="D14" s="24">
        <v>27680</v>
      </c>
      <c r="E14" s="31">
        <f t="shared" si="1"/>
        <v>9265</v>
      </c>
    </row>
    <row r="15" spans="1:11" x14ac:dyDescent="0.25">
      <c r="A15" s="22">
        <v>42704</v>
      </c>
      <c r="B15" s="24">
        <v>0</v>
      </c>
      <c r="C15" s="24">
        <v>1073621</v>
      </c>
      <c r="D15" s="24">
        <v>20000</v>
      </c>
      <c r="E15" s="31">
        <f t="shared" si="1"/>
        <v>60774</v>
      </c>
    </row>
    <row r="16" spans="1:11" x14ac:dyDescent="0.25">
      <c r="A16" s="22">
        <v>42734</v>
      </c>
      <c r="B16" s="24">
        <v>0</v>
      </c>
      <c r="C16" s="24">
        <v>1057295</v>
      </c>
      <c r="D16" s="24">
        <v>550000</v>
      </c>
      <c r="E16" s="31">
        <f>C16-(C15+B16)</f>
        <v>-16326</v>
      </c>
    </row>
    <row r="17" spans="1:5" x14ac:dyDescent="0.25">
      <c r="A17" s="22">
        <v>42761</v>
      </c>
      <c r="B17" s="24">
        <v>0</v>
      </c>
      <c r="C17" s="24">
        <v>1083700</v>
      </c>
      <c r="D17" s="24">
        <v>500000</v>
      </c>
      <c r="E17" s="31">
        <f>C17-(C16+B17)</f>
        <v>26405</v>
      </c>
    </row>
  </sheetData>
  <customSheetViews>
    <customSheetView guid="{1E41C6D1-1FF2-4EDC-93A7-39FD0856DDAE}" state="hidden">
      <selection activeCell="I37" sqref="I37"/>
      <pageMargins left="0.75" right="0.75" top="1" bottom="1" header="0.51" footer="0.51"/>
    </customSheetView>
    <customSheetView guid="{2C754312-9D31-43A1-8D1D-F4080D321E7F}" state="hidden">
      <selection activeCell="I37" sqref="I37"/>
      <pageMargins left="0.75" right="0.75" top="1" bottom="1" header="0.51" footer="0.51"/>
    </customSheetView>
  </customSheetViews>
  <phoneticPr fontId="3" type="noConversion"/>
  <pageMargins left="0.75" right="0.75" top="1" bottom="1" header="0.51" footer="0.5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30"/>
  <sheetViews>
    <sheetView workbookViewId="0">
      <selection activeCell="J12" sqref="J12"/>
    </sheetView>
  </sheetViews>
  <sheetFormatPr defaultRowHeight="15.6" x14ac:dyDescent="0.25"/>
  <cols>
    <col min="1" max="1" width="10.59765625" customWidth="1"/>
    <col min="6" max="6" width="9" customWidth="1"/>
    <col min="7" max="7" width="10.3984375" customWidth="1"/>
  </cols>
  <sheetData>
    <row r="1" spans="1:11" x14ac:dyDescent="0.25">
      <c r="A1" s="35" t="s">
        <v>0</v>
      </c>
      <c r="B1" s="35" t="s">
        <v>307</v>
      </c>
      <c r="C1" s="35" t="s">
        <v>308</v>
      </c>
      <c r="D1" s="35" t="s">
        <v>309</v>
      </c>
      <c r="E1" s="35" t="s">
        <v>1</v>
      </c>
      <c r="F1" s="88"/>
      <c r="H1" s="35" t="s">
        <v>308</v>
      </c>
      <c r="I1" s="79" t="s">
        <v>917</v>
      </c>
      <c r="J1" s="90" t="s">
        <v>921</v>
      </c>
      <c r="K1" s="88"/>
    </row>
    <row r="2" spans="1:11" x14ac:dyDescent="0.25">
      <c r="A2" s="22">
        <v>42609</v>
      </c>
      <c r="B2" s="24">
        <v>200000</v>
      </c>
      <c r="C2" s="24">
        <v>198710</v>
      </c>
      <c r="D2" s="24">
        <v>0</v>
      </c>
      <c r="E2" s="24">
        <f>C2-B2</f>
        <v>-1290</v>
      </c>
      <c r="F2" s="80"/>
      <c r="G2" s="89">
        <v>31227679</v>
      </c>
      <c r="H2">
        <v>471263</v>
      </c>
      <c r="I2">
        <v>0</v>
      </c>
      <c r="J2">
        <v>0</v>
      </c>
    </row>
    <row r="3" spans="1:11" x14ac:dyDescent="0.25">
      <c r="A3" s="22">
        <v>42641</v>
      </c>
      <c r="B3" s="24">
        <v>525000</v>
      </c>
      <c r="C3" s="24">
        <v>723596</v>
      </c>
      <c r="D3" s="24">
        <v>300000</v>
      </c>
      <c r="E3" s="24">
        <f>C3-B3-C2</f>
        <v>-114</v>
      </c>
      <c r="G3">
        <v>31227625</v>
      </c>
      <c r="H3">
        <v>463064</v>
      </c>
      <c r="I3">
        <v>0</v>
      </c>
      <c r="J3">
        <v>0</v>
      </c>
    </row>
    <row r="4" spans="1:11" x14ac:dyDescent="0.25">
      <c r="A4" s="22">
        <v>42670</v>
      </c>
      <c r="B4" s="24">
        <v>316000</v>
      </c>
      <c r="C4" s="24">
        <v>1060866</v>
      </c>
      <c r="D4" s="24">
        <v>115146</v>
      </c>
      <c r="E4" s="24">
        <f>C4-B4-C3</f>
        <v>21270</v>
      </c>
      <c r="G4">
        <v>31227579</v>
      </c>
      <c r="H4">
        <v>483134</v>
      </c>
      <c r="I4">
        <v>0</v>
      </c>
      <c r="J4">
        <v>0</v>
      </c>
    </row>
    <row r="5" spans="1:11" x14ac:dyDescent="0.25">
      <c r="A5" s="22">
        <v>42704</v>
      </c>
      <c r="B5" s="24">
        <v>1340000</v>
      </c>
      <c r="C5" s="24">
        <v>2450722</v>
      </c>
      <c r="D5" s="24">
        <v>811721</v>
      </c>
      <c r="E5" s="24">
        <f>C5-B5-C4</f>
        <v>49856</v>
      </c>
      <c r="G5">
        <v>31286307</v>
      </c>
      <c r="H5">
        <v>459383</v>
      </c>
      <c r="I5">
        <v>0</v>
      </c>
      <c r="J5">
        <v>0</v>
      </c>
    </row>
    <row r="6" spans="1:11" x14ac:dyDescent="0.25">
      <c r="A6" s="22">
        <v>42734</v>
      </c>
      <c r="B6" s="24">
        <v>600000</v>
      </c>
      <c r="C6" s="24">
        <v>3007631</v>
      </c>
      <c r="D6" s="24">
        <v>160000</v>
      </c>
      <c r="E6" s="24">
        <f>C6-B6-C5</f>
        <v>-43091</v>
      </c>
      <c r="G6">
        <v>31282539</v>
      </c>
      <c r="H6">
        <v>475322</v>
      </c>
      <c r="I6">
        <v>0</v>
      </c>
      <c r="J6">
        <v>0</v>
      </c>
    </row>
    <row r="7" spans="1:11" x14ac:dyDescent="0.25">
      <c r="A7" s="22">
        <v>42761</v>
      </c>
      <c r="B7" s="24">
        <v>1690000</v>
      </c>
      <c r="C7" s="24">
        <v>4843509</v>
      </c>
      <c r="D7" s="24">
        <v>0</v>
      </c>
      <c r="E7" s="24">
        <f>C7-B7-C6</f>
        <v>145878</v>
      </c>
      <c r="G7">
        <v>31282540</v>
      </c>
      <c r="H7">
        <v>466796</v>
      </c>
      <c r="I7">
        <v>0</v>
      </c>
      <c r="J7">
        <v>0</v>
      </c>
    </row>
    <row r="8" spans="1:11" x14ac:dyDescent="0.25">
      <c r="G8" s="91" t="s">
        <v>923</v>
      </c>
      <c r="H8">
        <v>304048</v>
      </c>
      <c r="I8">
        <v>0</v>
      </c>
      <c r="J8">
        <v>300000</v>
      </c>
    </row>
    <row r="9" spans="1:11" x14ac:dyDescent="0.25">
      <c r="G9" s="91" t="s">
        <v>924</v>
      </c>
      <c r="H9">
        <v>305324</v>
      </c>
      <c r="I9">
        <v>0</v>
      </c>
      <c r="J9">
        <v>300000</v>
      </c>
    </row>
    <row r="10" spans="1:11" x14ac:dyDescent="0.25">
      <c r="G10" s="91" t="s">
        <v>926</v>
      </c>
      <c r="H10">
        <v>300888</v>
      </c>
      <c r="I10">
        <v>0</v>
      </c>
      <c r="J10">
        <v>300000</v>
      </c>
    </row>
    <row r="11" spans="1:11" x14ac:dyDescent="0.25">
      <c r="G11" s="91" t="s">
        <v>922</v>
      </c>
      <c r="H11">
        <v>304287</v>
      </c>
      <c r="I11">
        <v>0</v>
      </c>
      <c r="J11">
        <v>300000</v>
      </c>
    </row>
    <row r="12" spans="1:11" x14ac:dyDescent="0.25">
      <c r="G12" s="91" t="s">
        <v>929</v>
      </c>
      <c r="H12">
        <v>240000</v>
      </c>
      <c r="J12">
        <v>240000</v>
      </c>
    </row>
    <row r="13" spans="1:11" x14ac:dyDescent="0.25">
      <c r="G13" s="91" t="s">
        <v>927</v>
      </c>
      <c r="H13">
        <v>470000</v>
      </c>
      <c r="I13">
        <v>0</v>
      </c>
      <c r="J13">
        <v>460000</v>
      </c>
    </row>
    <row r="14" spans="1:11" x14ac:dyDescent="0.25">
      <c r="G14" s="92" t="s">
        <v>928</v>
      </c>
      <c r="H14">
        <v>100000</v>
      </c>
      <c r="I14">
        <v>0</v>
      </c>
      <c r="J14">
        <v>-210000</v>
      </c>
    </row>
    <row r="15" spans="1:11" x14ac:dyDescent="0.25">
      <c r="G15" s="92" t="s">
        <v>925</v>
      </c>
      <c r="H15">
        <f>SUM(H2:H14)</f>
        <v>4843509</v>
      </c>
      <c r="I15">
        <f>SUM(I2:I14)</f>
        <v>0</v>
      </c>
      <c r="J15">
        <f>SUM(J2:J14)</f>
        <v>1690000</v>
      </c>
    </row>
    <row r="20" spans="8:8" x14ac:dyDescent="0.25">
      <c r="H20" s="88"/>
    </row>
    <row r="21" spans="8:8" x14ac:dyDescent="0.25">
      <c r="H21" s="88"/>
    </row>
    <row r="22" spans="8:8" x14ac:dyDescent="0.25">
      <c r="H22" s="88"/>
    </row>
    <row r="23" spans="8:8" x14ac:dyDescent="0.25">
      <c r="H23" s="88"/>
    </row>
    <row r="24" spans="8:8" x14ac:dyDescent="0.25">
      <c r="H24" s="88"/>
    </row>
    <row r="26" spans="8:8" x14ac:dyDescent="0.25">
      <c r="H26" s="88"/>
    </row>
    <row r="27" spans="8:8" x14ac:dyDescent="0.25">
      <c r="H27" s="88"/>
    </row>
    <row r="28" spans="8:8" x14ac:dyDescent="0.25">
      <c r="H28" s="88"/>
    </row>
    <row r="29" spans="8:8" x14ac:dyDescent="0.25">
      <c r="H29" s="88"/>
    </row>
    <row r="30" spans="8:8" x14ac:dyDescent="0.25">
      <c r="H30" s="88"/>
    </row>
  </sheetData>
  <customSheetViews>
    <customSheetView guid="{1E41C6D1-1FF2-4EDC-93A7-39FD0856DDAE}" state="hidden">
      <selection activeCell="J8" sqref="J8:J14"/>
      <pageMargins left="0.7" right="0.7" top="0.75" bottom="0.75" header="0.3" footer="0.3"/>
    </customSheetView>
    <customSheetView guid="{2C754312-9D31-43A1-8D1D-F4080D321E7F}" state="hidden">
      <selection activeCell="J12" sqref="J12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7"/>
  <sheetViews>
    <sheetView zoomScaleSheetLayoutView="100" workbookViewId="0">
      <selection activeCell="B22" sqref="B22"/>
    </sheetView>
  </sheetViews>
  <sheetFormatPr defaultColWidth="9" defaultRowHeight="15.6" x14ac:dyDescent="0.25"/>
  <cols>
    <col min="1" max="1" width="11.59765625" bestFit="1" customWidth="1"/>
    <col min="2" max="2" width="11.5" bestFit="1" customWidth="1"/>
    <col min="3" max="3" width="9.3984375" bestFit="1" customWidth="1"/>
    <col min="5" max="5" width="10.3984375" bestFit="1" customWidth="1"/>
    <col min="6" max="6" width="9.3984375" bestFit="1" customWidth="1"/>
  </cols>
  <sheetData>
    <row r="1" spans="1:5" x14ac:dyDescent="0.25">
      <c r="A1" s="29" t="s">
        <v>0</v>
      </c>
      <c r="B1" s="29" t="s">
        <v>307</v>
      </c>
      <c r="C1" s="29" t="s">
        <v>308</v>
      </c>
      <c r="D1" s="29" t="s">
        <v>309</v>
      </c>
      <c r="E1" s="29" t="s">
        <v>1</v>
      </c>
    </row>
    <row r="2" spans="1:5" x14ac:dyDescent="0.25">
      <c r="A2" s="22">
        <v>42239</v>
      </c>
      <c r="B2" s="24">
        <v>3718053</v>
      </c>
      <c r="C2" s="24">
        <v>4272658</v>
      </c>
      <c r="D2" s="24" t="s">
        <v>8</v>
      </c>
      <c r="E2" s="24" t="s">
        <v>8</v>
      </c>
    </row>
    <row r="3" spans="1:5" x14ac:dyDescent="0.25">
      <c r="A3" s="22">
        <v>42337</v>
      </c>
      <c r="B3" s="31">
        <v>-1500000</v>
      </c>
      <c r="C3" s="24">
        <v>2790000</v>
      </c>
      <c r="D3" s="24" t="s">
        <v>8</v>
      </c>
      <c r="E3" s="31">
        <f t="shared" ref="E3:E11" si="0">C3-(C2+B3)</f>
        <v>17342</v>
      </c>
    </row>
    <row r="4" spans="1:5" x14ac:dyDescent="0.25">
      <c r="A4" s="22">
        <v>42364</v>
      </c>
      <c r="B4" s="24">
        <v>1100000</v>
      </c>
      <c r="C4" s="24">
        <v>3979538</v>
      </c>
      <c r="D4" s="24">
        <v>1377518</v>
      </c>
      <c r="E4" s="31">
        <f t="shared" si="0"/>
        <v>89538</v>
      </c>
    </row>
    <row r="5" spans="1:5" x14ac:dyDescent="0.25">
      <c r="A5" s="22">
        <v>42401</v>
      </c>
      <c r="B5" s="24">
        <v>0</v>
      </c>
      <c r="C5" s="24">
        <v>3700000</v>
      </c>
      <c r="D5" s="24">
        <v>1450000</v>
      </c>
      <c r="E5" s="31">
        <f t="shared" si="0"/>
        <v>-279538</v>
      </c>
    </row>
    <row r="6" spans="1:5" x14ac:dyDescent="0.25">
      <c r="A6" s="22">
        <v>42427</v>
      </c>
      <c r="B6" s="24">
        <v>0</v>
      </c>
      <c r="C6" s="24">
        <v>3808037</v>
      </c>
      <c r="D6" s="24">
        <v>2480000</v>
      </c>
      <c r="E6" s="31">
        <f t="shared" si="0"/>
        <v>108037</v>
      </c>
    </row>
    <row r="7" spans="1:5" x14ac:dyDescent="0.25">
      <c r="A7" s="22">
        <v>42460</v>
      </c>
      <c r="B7" s="31">
        <v>-1500000</v>
      </c>
      <c r="C7" s="24">
        <v>2438242</v>
      </c>
      <c r="D7" s="24">
        <v>1650000</v>
      </c>
      <c r="E7" s="31">
        <f t="shared" si="0"/>
        <v>130205</v>
      </c>
    </row>
    <row r="8" spans="1:5" x14ac:dyDescent="0.25">
      <c r="A8" s="22">
        <v>42490</v>
      </c>
      <c r="B8" s="24">
        <v>0</v>
      </c>
      <c r="C8" s="24">
        <v>2459347</v>
      </c>
      <c r="D8" s="24">
        <v>1650000</v>
      </c>
      <c r="E8" s="31">
        <f t="shared" si="0"/>
        <v>21105</v>
      </c>
    </row>
    <row r="9" spans="1:5" x14ac:dyDescent="0.25">
      <c r="A9" s="22">
        <v>42520</v>
      </c>
      <c r="B9" s="24">
        <v>-1650000</v>
      </c>
      <c r="C9" s="24">
        <v>805572</v>
      </c>
      <c r="D9" s="24">
        <v>23033</v>
      </c>
      <c r="E9" s="31">
        <f t="shared" si="0"/>
        <v>-3775</v>
      </c>
    </row>
    <row r="10" spans="1:5" x14ac:dyDescent="0.25">
      <c r="A10" s="22">
        <v>42551</v>
      </c>
      <c r="B10" s="24">
        <v>0</v>
      </c>
      <c r="C10" s="24">
        <v>833949</v>
      </c>
      <c r="D10" s="24">
        <v>80807</v>
      </c>
      <c r="E10" s="31">
        <f t="shared" si="0"/>
        <v>28377</v>
      </c>
    </row>
    <row r="11" spans="1:5" x14ac:dyDescent="0.25">
      <c r="A11" s="22">
        <v>42581</v>
      </c>
      <c r="B11" s="24">
        <v>1000000</v>
      </c>
      <c r="C11" s="24">
        <v>1853573</v>
      </c>
      <c r="D11" s="24">
        <v>1200000</v>
      </c>
      <c r="E11" s="31">
        <f t="shared" si="0"/>
        <v>19624</v>
      </c>
    </row>
    <row r="12" spans="1:5" x14ac:dyDescent="0.25">
      <c r="A12" s="22">
        <v>42609</v>
      </c>
      <c r="B12" s="24">
        <v>0</v>
      </c>
      <c r="C12" s="24">
        <v>1855907</v>
      </c>
      <c r="D12" s="24">
        <v>1612600</v>
      </c>
      <c r="E12" s="31">
        <f t="shared" ref="E12:E17" si="1">C12-(C11+B12)</f>
        <v>2334</v>
      </c>
    </row>
    <row r="13" spans="1:5" x14ac:dyDescent="0.25">
      <c r="A13" s="22">
        <v>42641</v>
      </c>
      <c r="B13" s="24">
        <v>0</v>
      </c>
      <c r="C13" s="24">
        <v>1857165</v>
      </c>
      <c r="D13" s="24">
        <v>1612600</v>
      </c>
      <c r="E13" s="31">
        <f t="shared" si="1"/>
        <v>1258</v>
      </c>
    </row>
    <row r="14" spans="1:5" x14ac:dyDescent="0.25">
      <c r="A14" s="22">
        <v>42670</v>
      </c>
      <c r="B14" s="24">
        <v>0</v>
      </c>
      <c r="C14" s="24">
        <v>1871728</v>
      </c>
      <c r="D14" s="24">
        <v>1612600</v>
      </c>
      <c r="E14" s="31">
        <f t="shared" si="1"/>
        <v>14563</v>
      </c>
    </row>
    <row r="15" spans="1:5" x14ac:dyDescent="0.25">
      <c r="A15" s="22">
        <v>42704</v>
      </c>
      <c r="B15" s="24">
        <v>-1620000</v>
      </c>
      <c r="C15" s="24">
        <v>263068</v>
      </c>
      <c r="D15" s="24">
        <v>7783</v>
      </c>
      <c r="E15" s="31">
        <f t="shared" si="1"/>
        <v>11340</v>
      </c>
    </row>
    <row r="16" spans="1:5" x14ac:dyDescent="0.25">
      <c r="A16" s="22">
        <v>42734</v>
      </c>
      <c r="B16" s="24">
        <v>0</v>
      </c>
      <c r="C16" s="24">
        <v>254680</v>
      </c>
      <c r="D16" s="24">
        <v>0</v>
      </c>
      <c r="E16" s="31">
        <f t="shared" si="1"/>
        <v>-8388</v>
      </c>
    </row>
    <row r="17" spans="1:5" x14ac:dyDescent="0.25">
      <c r="A17" s="22">
        <v>42761</v>
      </c>
      <c r="B17" s="24">
        <v>0</v>
      </c>
      <c r="C17" s="24">
        <v>263260</v>
      </c>
      <c r="D17" s="24">
        <v>0</v>
      </c>
      <c r="E17" s="31">
        <f t="shared" si="1"/>
        <v>8580</v>
      </c>
    </row>
  </sheetData>
  <customSheetViews>
    <customSheetView guid="{1E41C6D1-1FF2-4EDC-93A7-39FD0856DDAE}" state="hidden">
      <selection activeCell="B22" sqref="B22"/>
      <pageMargins left="0.75" right="0.75" top="1" bottom="1" header="0.51" footer="0.51"/>
    </customSheetView>
    <customSheetView guid="{2C754312-9D31-43A1-8D1D-F4080D321E7F}" state="hidden">
      <selection activeCell="B22" sqref="B22"/>
      <pageMargins left="0.75" right="0.75" top="1" bottom="1" header="0.51" footer="0.51"/>
    </customSheetView>
  </customSheetViews>
  <phoneticPr fontId="3" type="noConversion"/>
  <pageMargins left="0.75" right="0.75" top="1" bottom="1" header="0.51" footer="0.5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17"/>
  <sheetViews>
    <sheetView zoomScaleSheetLayoutView="100" workbookViewId="0">
      <selection activeCell="B23" sqref="B23"/>
    </sheetView>
  </sheetViews>
  <sheetFormatPr defaultColWidth="9" defaultRowHeight="15.6" x14ac:dyDescent="0.25"/>
  <cols>
    <col min="1" max="1" width="11.59765625" bestFit="1" customWidth="1"/>
    <col min="2" max="2" width="10.3984375" bestFit="1" customWidth="1"/>
    <col min="5" max="5" width="9.3984375" bestFit="1" customWidth="1"/>
    <col min="8" max="8" width="9.3984375" bestFit="1" customWidth="1"/>
  </cols>
  <sheetData>
    <row r="1" spans="1:8" x14ac:dyDescent="0.25">
      <c r="A1" s="29" t="s">
        <v>0</v>
      </c>
      <c r="B1" s="29" t="s">
        <v>307</v>
      </c>
      <c r="C1" s="29" t="s">
        <v>308</v>
      </c>
      <c r="D1" s="29" t="s">
        <v>309</v>
      </c>
      <c r="E1" s="29" t="s">
        <v>1</v>
      </c>
    </row>
    <row r="2" spans="1:8" x14ac:dyDescent="0.25">
      <c r="A2" s="22">
        <v>42239</v>
      </c>
      <c r="B2" s="24">
        <v>-1201872</v>
      </c>
      <c r="C2" s="24">
        <v>1329180</v>
      </c>
      <c r="D2" s="24" t="s">
        <v>8</v>
      </c>
      <c r="E2" s="24" t="s">
        <v>8</v>
      </c>
    </row>
    <row r="3" spans="1:8" x14ac:dyDescent="0.25">
      <c r="A3" s="22">
        <v>42337</v>
      </c>
      <c r="B3" s="31">
        <v>-1319493</v>
      </c>
      <c r="C3" s="24">
        <v>0</v>
      </c>
      <c r="D3" s="24">
        <v>0</v>
      </c>
      <c r="E3" s="31">
        <f t="shared" ref="E3:E11" si="0">C3-(C2+B3)</f>
        <v>-9687</v>
      </c>
    </row>
    <row r="4" spans="1:8" x14ac:dyDescent="0.25">
      <c r="A4" s="22">
        <v>42364</v>
      </c>
      <c r="B4" s="24">
        <v>932500</v>
      </c>
      <c r="C4" s="24">
        <v>933604</v>
      </c>
      <c r="D4" s="24">
        <v>933604</v>
      </c>
      <c r="E4" s="31">
        <f t="shared" si="0"/>
        <v>1104</v>
      </c>
      <c r="H4" s="2"/>
    </row>
    <row r="5" spans="1:8" x14ac:dyDescent="0.25">
      <c r="A5" s="22">
        <v>42401</v>
      </c>
      <c r="B5" s="24">
        <v>-432600</v>
      </c>
      <c r="C5" s="24">
        <v>501034</v>
      </c>
      <c r="D5" s="24">
        <v>500000</v>
      </c>
      <c r="E5" s="31">
        <f t="shared" si="0"/>
        <v>30</v>
      </c>
      <c r="H5" s="2"/>
    </row>
    <row r="6" spans="1:8" x14ac:dyDescent="0.25">
      <c r="A6" s="22">
        <v>42427</v>
      </c>
      <c r="B6" s="24">
        <v>600000</v>
      </c>
      <c r="C6" s="24">
        <v>1096087</v>
      </c>
      <c r="D6" s="24">
        <v>-94809</v>
      </c>
      <c r="E6" s="31">
        <f t="shared" si="0"/>
        <v>-4947</v>
      </c>
      <c r="H6" s="2"/>
    </row>
    <row r="7" spans="1:8" x14ac:dyDescent="0.25">
      <c r="A7" s="22">
        <v>42460</v>
      </c>
      <c r="B7" s="31">
        <v>-600000</v>
      </c>
      <c r="C7" s="24">
        <v>554141</v>
      </c>
      <c r="D7" s="24">
        <v>300000</v>
      </c>
      <c r="E7" s="31">
        <f t="shared" si="0"/>
        <v>58054</v>
      </c>
      <c r="H7" s="2"/>
    </row>
    <row r="8" spans="1:8" x14ac:dyDescent="0.25">
      <c r="A8" s="22">
        <v>42490</v>
      </c>
      <c r="B8" s="24">
        <v>-110000</v>
      </c>
      <c r="C8" s="24">
        <v>494461</v>
      </c>
      <c r="D8" s="24">
        <v>494461</v>
      </c>
      <c r="E8" s="31">
        <f t="shared" si="0"/>
        <v>50320</v>
      </c>
      <c r="H8" s="2"/>
    </row>
    <row r="9" spans="1:8" x14ac:dyDescent="0.25">
      <c r="A9" s="22">
        <v>42520</v>
      </c>
      <c r="B9" s="24">
        <v>-427656</v>
      </c>
      <c r="C9" s="24">
        <v>53066</v>
      </c>
      <c r="D9" s="24">
        <v>53066</v>
      </c>
      <c r="E9" s="31">
        <f t="shared" si="0"/>
        <v>-13739</v>
      </c>
    </row>
    <row r="10" spans="1:8" x14ac:dyDescent="0.25">
      <c r="A10" s="22">
        <v>42551</v>
      </c>
      <c r="B10" s="24">
        <v>0</v>
      </c>
      <c r="C10" s="24">
        <v>71215</v>
      </c>
      <c r="D10" s="24">
        <v>47345</v>
      </c>
      <c r="E10" s="31">
        <f t="shared" si="0"/>
        <v>18149</v>
      </c>
    </row>
    <row r="11" spans="1:8" x14ac:dyDescent="0.25">
      <c r="A11" s="22">
        <v>42581</v>
      </c>
      <c r="B11" s="24">
        <v>0</v>
      </c>
      <c r="C11" s="24">
        <v>91468</v>
      </c>
      <c r="D11" s="24">
        <v>91468</v>
      </c>
      <c r="E11" s="31">
        <f t="shared" si="0"/>
        <v>20253</v>
      </c>
    </row>
    <row r="12" spans="1:8" x14ac:dyDescent="0.25">
      <c r="A12" s="22">
        <v>42609</v>
      </c>
      <c r="B12" s="24">
        <v>0</v>
      </c>
      <c r="C12" s="24">
        <v>91590</v>
      </c>
      <c r="D12" s="24">
        <v>91590</v>
      </c>
      <c r="E12" s="31">
        <f t="shared" ref="E12:E17" si="1">C12-(C11+B12)</f>
        <v>122</v>
      </c>
    </row>
    <row r="13" spans="1:8" x14ac:dyDescent="0.25">
      <c r="A13" s="22">
        <v>42641</v>
      </c>
      <c r="B13" s="24">
        <v>0</v>
      </c>
      <c r="C13" s="24">
        <v>91709</v>
      </c>
      <c r="D13" s="24">
        <v>91709</v>
      </c>
      <c r="E13" s="31">
        <f t="shared" si="1"/>
        <v>119</v>
      </c>
    </row>
    <row r="14" spans="1:8" x14ac:dyDescent="0.25">
      <c r="A14" s="22">
        <v>42670</v>
      </c>
      <c r="B14" s="24">
        <v>0</v>
      </c>
      <c r="C14" s="24">
        <v>91814</v>
      </c>
      <c r="D14" s="24">
        <v>91814</v>
      </c>
      <c r="E14" s="31">
        <f t="shared" si="1"/>
        <v>105</v>
      </c>
    </row>
    <row r="15" spans="1:8" x14ac:dyDescent="0.25">
      <c r="A15" s="22">
        <v>42704</v>
      </c>
      <c r="B15" s="24">
        <v>0</v>
      </c>
      <c r="C15" s="24">
        <v>91930</v>
      </c>
      <c r="D15" s="24">
        <v>91930</v>
      </c>
      <c r="E15" s="31">
        <f t="shared" si="1"/>
        <v>116</v>
      </c>
    </row>
    <row r="16" spans="1:8" x14ac:dyDescent="0.25">
      <c r="A16" s="22">
        <v>42734</v>
      </c>
      <c r="B16" s="24">
        <v>100000</v>
      </c>
      <c r="C16" s="24">
        <v>192053</v>
      </c>
      <c r="D16" s="24">
        <v>0</v>
      </c>
      <c r="E16" s="31">
        <f t="shared" si="1"/>
        <v>123</v>
      </c>
    </row>
    <row r="17" spans="1:5" x14ac:dyDescent="0.25">
      <c r="A17" s="22">
        <v>42761</v>
      </c>
      <c r="B17" s="24">
        <v>0</v>
      </c>
      <c r="C17" s="24">
        <v>222280</v>
      </c>
      <c r="D17" s="24">
        <v>0</v>
      </c>
      <c r="E17" s="31">
        <f t="shared" si="1"/>
        <v>30227</v>
      </c>
    </row>
  </sheetData>
  <customSheetViews>
    <customSheetView guid="{1E41C6D1-1FF2-4EDC-93A7-39FD0856DDAE}" state="hidden">
      <selection activeCell="B23" sqref="B23"/>
      <pageMargins left="0.75" right="0.75" top="1" bottom="1" header="0.51" footer="0.51"/>
    </customSheetView>
    <customSheetView guid="{2C754312-9D31-43A1-8D1D-F4080D321E7F}" state="hidden">
      <selection activeCell="B23" sqref="B23"/>
      <pageMargins left="0.75" right="0.75" top="1" bottom="1" header="0.51" footer="0.51"/>
    </customSheetView>
  </customSheetViews>
  <phoneticPr fontId="3" type="noConversion"/>
  <pageMargins left="0.75" right="0.75" top="1" bottom="1" header="0.51" footer="0.5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7"/>
  <sheetViews>
    <sheetView zoomScaleSheetLayoutView="100" workbookViewId="0">
      <selection activeCell="D23" sqref="D23"/>
    </sheetView>
  </sheetViews>
  <sheetFormatPr defaultColWidth="9" defaultRowHeight="15.6" x14ac:dyDescent="0.25"/>
  <cols>
    <col min="1" max="1" width="11.59765625" bestFit="1" customWidth="1"/>
    <col min="2" max="3" width="10.3984375" bestFit="1" customWidth="1"/>
    <col min="4" max="4" width="9.5" bestFit="1" customWidth="1"/>
    <col min="5" max="5" width="9.3984375" bestFit="1" customWidth="1"/>
    <col min="10" max="10" width="10.3984375" bestFit="1" customWidth="1"/>
    <col min="11" max="11" width="9.3984375" bestFit="1" customWidth="1"/>
  </cols>
  <sheetData>
    <row r="1" spans="1:11" x14ac:dyDescent="0.25">
      <c r="A1" s="29" t="s">
        <v>0</v>
      </c>
      <c r="B1" s="29" t="s">
        <v>307</v>
      </c>
      <c r="C1" s="29" t="s">
        <v>308</v>
      </c>
      <c r="D1" s="29" t="s">
        <v>309</v>
      </c>
      <c r="E1" s="29" t="s">
        <v>1</v>
      </c>
      <c r="F1" s="29" t="s">
        <v>310</v>
      </c>
    </row>
    <row r="2" spans="1:11" x14ac:dyDescent="0.25">
      <c r="A2" s="22">
        <v>42239</v>
      </c>
      <c r="B2" s="24">
        <v>898079</v>
      </c>
      <c r="C2" s="23">
        <v>423552</v>
      </c>
      <c r="D2" s="24" t="s">
        <v>8</v>
      </c>
      <c r="E2" s="24" t="s">
        <v>8</v>
      </c>
      <c r="F2" s="24">
        <v>6.4</v>
      </c>
    </row>
    <row r="3" spans="1:11" x14ac:dyDescent="0.25">
      <c r="A3" s="22">
        <v>42337</v>
      </c>
      <c r="B3" s="30">
        <v>256796</v>
      </c>
      <c r="C3" s="23">
        <v>944691.39</v>
      </c>
      <c r="D3" s="24">
        <v>0</v>
      </c>
      <c r="E3" s="31">
        <f t="shared" ref="E3:E11" si="0">C3-(C2+B3)</f>
        <v>264343.39</v>
      </c>
      <c r="F3" s="24">
        <v>6.39</v>
      </c>
    </row>
    <row r="4" spans="1:11" x14ac:dyDescent="0.25">
      <c r="A4" s="22">
        <v>42364</v>
      </c>
      <c r="B4" s="24">
        <v>0</v>
      </c>
      <c r="C4" s="23">
        <v>1063428.07</v>
      </c>
      <c r="D4" s="30">
        <v>29490</v>
      </c>
      <c r="E4" s="31">
        <f t="shared" si="0"/>
        <v>118736.68000000005</v>
      </c>
      <c r="F4" s="24">
        <v>6.45</v>
      </c>
      <c r="H4" s="3"/>
      <c r="I4" s="2"/>
      <c r="J4" s="3"/>
      <c r="K4" s="3"/>
    </row>
    <row r="5" spans="1:11" x14ac:dyDescent="0.25">
      <c r="A5" s="22">
        <v>42401</v>
      </c>
      <c r="B5" s="24">
        <v>0</v>
      </c>
      <c r="C5" s="23">
        <v>897398</v>
      </c>
      <c r="D5" s="30">
        <v>-357156</v>
      </c>
      <c r="E5" s="31">
        <f>C5-(C4+B5)</f>
        <v>-166030.07000000007</v>
      </c>
      <c r="F5" s="24">
        <v>6.45</v>
      </c>
      <c r="H5" s="3"/>
      <c r="I5" s="2"/>
      <c r="J5" s="3"/>
      <c r="K5" s="3"/>
    </row>
    <row r="6" spans="1:11" x14ac:dyDescent="0.25">
      <c r="A6" s="22">
        <v>42427</v>
      </c>
      <c r="B6" s="24">
        <v>0</v>
      </c>
      <c r="C6" s="23">
        <v>885561</v>
      </c>
      <c r="D6" s="30">
        <v>-537348</v>
      </c>
      <c r="E6" s="31">
        <f t="shared" si="0"/>
        <v>-11837</v>
      </c>
      <c r="F6" s="24">
        <v>6.53</v>
      </c>
      <c r="H6" s="3"/>
      <c r="I6" s="2"/>
      <c r="J6" s="3"/>
      <c r="K6" s="3"/>
    </row>
    <row r="7" spans="1:11" x14ac:dyDescent="0.25">
      <c r="A7" s="22">
        <v>42460</v>
      </c>
      <c r="B7" s="30">
        <v>276404</v>
      </c>
      <c r="C7" s="23">
        <v>1279612</v>
      </c>
      <c r="D7" s="30">
        <v>-369744</v>
      </c>
      <c r="E7" s="31">
        <f t="shared" si="0"/>
        <v>117647</v>
      </c>
      <c r="F7" s="24">
        <v>6.48</v>
      </c>
      <c r="H7" s="3"/>
      <c r="I7" s="2"/>
      <c r="J7" s="3"/>
      <c r="K7" s="3"/>
    </row>
    <row r="8" spans="1:11" x14ac:dyDescent="0.25">
      <c r="A8" s="22">
        <v>42490</v>
      </c>
      <c r="B8" s="24">
        <v>0</v>
      </c>
      <c r="C8" s="23">
        <v>1361865</v>
      </c>
      <c r="D8" s="30">
        <v>-256484</v>
      </c>
      <c r="E8" s="31">
        <f t="shared" si="0"/>
        <v>82253</v>
      </c>
      <c r="F8" s="32">
        <v>6.47</v>
      </c>
      <c r="J8" s="3"/>
      <c r="K8" s="3"/>
    </row>
    <row r="9" spans="1:11" x14ac:dyDescent="0.25">
      <c r="A9" s="22">
        <v>42520</v>
      </c>
      <c r="B9" s="33">
        <v>298848</v>
      </c>
      <c r="C9" s="75">
        <v>1628440</v>
      </c>
      <c r="D9" s="34">
        <v>-28380</v>
      </c>
      <c r="E9" s="31">
        <f t="shared" si="0"/>
        <v>-32273</v>
      </c>
      <c r="F9" s="24">
        <v>6.55</v>
      </c>
    </row>
    <row r="10" spans="1:11" x14ac:dyDescent="0.25">
      <c r="A10" s="22">
        <v>42551</v>
      </c>
      <c r="B10" s="24">
        <v>0</v>
      </c>
      <c r="C10" s="23">
        <v>1466000</v>
      </c>
      <c r="D10" s="24">
        <v>-29549</v>
      </c>
      <c r="E10" s="31">
        <f t="shared" si="0"/>
        <v>-162440</v>
      </c>
      <c r="F10" s="24">
        <v>6.64</v>
      </c>
    </row>
    <row r="11" spans="1:11" x14ac:dyDescent="0.25">
      <c r="A11" s="22">
        <v>42581</v>
      </c>
      <c r="B11" s="24">
        <v>0</v>
      </c>
      <c r="C11" s="23">
        <v>1593260</v>
      </c>
      <c r="D11" s="24">
        <v>4400</v>
      </c>
      <c r="E11" s="31">
        <f t="shared" si="0"/>
        <v>127260</v>
      </c>
      <c r="F11" s="24">
        <v>6.65</v>
      </c>
    </row>
    <row r="12" spans="1:11" x14ac:dyDescent="0.25">
      <c r="A12" s="22">
        <v>42609</v>
      </c>
      <c r="B12" s="24">
        <v>0</v>
      </c>
      <c r="C12" s="23">
        <v>1799094</v>
      </c>
      <c r="D12" s="24">
        <v>710900</v>
      </c>
      <c r="E12" s="31">
        <f t="shared" ref="E12:E17" si="1">C12-(C11+B12)</f>
        <v>205834</v>
      </c>
      <c r="F12" s="24">
        <v>6.64</v>
      </c>
    </row>
    <row r="13" spans="1:11" x14ac:dyDescent="0.25">
      <c r="A13" s="22">
        <v>42641</v>
      </c>
      <c r="B13" s="24">
        <v>0</v>
      </c>
      <c r="C13" s="23">
        <v>1842811</v>
      </c>
      <c r="D13" s="24">
        <v>756818</v>
      </c>
      <c r="E13" s="31">
        <f t="shared" si="1"/>
        <v>43717</v>
      </c>
      <c r="F13" s="24">
        <v>6.66</v>
      </c>
    </row>
    <row r="14" spans="1:11" x14ac:dyDescent="0.25">
      <c r="A14" s="22">
        <v>42670</v>
      </c>
      <c r="B14" s="24">
        <v>0</v>
      </c>
      <c r="C14" s="23">
        <v>1844943</v>
      </c>
      <c r="D14" s="24">
        <v>702704</v>
      </c>
      <c r="E14" s="31">
        <f t="shared" si="1"/>
        <v>2132</v>
      </c>
      <c r="F14" s="24">
        <v>6.78</v>
      </c>
    </row>
    <row r="15" spans="1:11" x14ac:dyDescent="0.25">
      <c r="A15" s="22">
        <v>42704</v>
      </c>
      <c r="B15" s="24">
        <v>0</v>
      </c>
      <c r="C15" s="23">
        <v>1795000</v>
      </c>
      <c r="D15" s="24">
        <v>669514</v>
      </c>
      <c r="E15" s="31">
        <f t="shared" si="1"/>
        <v>-49943</v>
      </c>
      <c r="F15" s="24">
        <v>6.89</v>
      </c>
    </row>
    <row r="16" spans="1:11" x14ac:dyDescent="0.25">
      <c r="A16" s="22">
        <v>42734</v>
      </c>
      <c r="B16" s="24">
        <v>0</v>
      </c>
      <c r="C16" s="23">
        <v>1749000</v>
      </c>
      <c r="D16" s="24">
        <v>-235000</v>
      </c>
      <c r="E16" s="31">
        <f t="shared" si="1"/>
        <v>-46000</v>
      </c>
      <c r="F16" s="24">
        <v>6.94</v>
      </c>
    </row>
    <row r="17" spans="1:6" x14ac:dyDescent="0.25">
      <c r="A17" s="22">
        <v>42761</v>
      </c>
      <c r="B17" s="24">
        <v>0</v>
      </c>
      <c r="C17" s="23">
        <v>1846000</v>
      </c>
      <c r="D17" s="24">
        <v>-204000</v>
      </c>
      <c r="E17" s="31">
        <f t="shared" si="1"/>
        <v>97000</v>
      </c>
      <c r="F17" s="24">
        <v>6.86</v>
      </c>
    </row>
  </sheetData>
  <customSheetViews>
    <customSheetView guid="{1E41C6D1-1FF2-4EDC-93A7-39FD0856DDAE}" state="hidden">
      <selection activeCell="D23" sqref="D23"/>
      <pageMargins left="0.75" right="0.75" top="1" bottom="1" header="0.51" footer="0.51"/>
      <pageSetup paperSize="9" orientation="portrait" verticalDpi="0" r:id="rId1"/>
    </customSheetView>
    <customSheetView guid="{2C754312-9D31-43A1-8D1D-F4080D321E7F}" state="hidden">
      <selection activeCell="D23" sqref="D23"/>
      <pageMargins left="0.75" right="0.75" top="1" bottom="1" header="0.51" footer="0.51"/>
      <pageSetup paperSize="9" orientation="portrait" verticalDpi="0" r:id="rId2"/>
    </customSheetView>
  </customSheetViews>
  <phoneticPr fontId="3" type="noConversion"/>
  <pageMargins left="0.75" right="0.75" top="1" bottom="1" header="0.51" footer="0.51"/>
  <pageSetup paperSize="9" orientation="portrait" verticalDpi="0"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K100"/>
  <sheetViews>
    <sheetView topLeftCell="A73" workbookViewId="0">
      <selection activeCell="B100" sqref="B100"/>
    </sheetView>
  </sheetViews>
  <sheetFormatPr defaultRowHeight="15.6" x14ac:dyDescent="0.25"/>
  <cols>
    <col min="1" max="1" width="11.59765625" bestFit="1" customWidth="1"/>
    <col min="2" max="2" width="12" customWidth="1"/>
    <col min="3" max="3" width="15" customWidth="1"/>
    <col min="4" max="4" width="11.19921875" customWidth="1"/>
    <col min="5" max="5" width="11.59765625" style="13" customWidth="1"/>
    <col min="6" max="6" width="9" style="13"/>
    <col min="8" max="8" width="11.19921875" customWidth="1"/>
  </cols>
  <sheetData>
    <row r="1" spans="1:11" x14ac:dyDescent="0.25">
      <c r="A1" s="14" t="s">
        <v>311</v>
      </c>
      <c r="B1" s="14"/>
      <c r="C1" s="15" t="e">
        <f ca="1">INDEX(F:F,MATCH(TODAY(),A:A,0))/$F$3-1</f>
        <v>#N/A</v>
      </c>
      <c r="D1" s="16" t="s">
        <v>312</v>
      </c>
      <c r="E1" s="15" t="e">
        <f ca="1">INDEX(H:H,MATCH(TODAY(),A:A,0))/$H$3-1</f>
        <v>#N/A</v>
      </c>
      <c r="F1" s="17" t="s">
        <v>313</v>
      </c>
      <c r="G1" s="18" t="e">
        <f ca="1">C1-E1</f>
        <v>#N/A</v>
      </c>
    </row>
    <row r="2" spans="1:11" x14ac:dyDescent="0.25">
      <c r="A2" s="19" t="s">
        <v>0</v>
      </c>
      <c r="B2" s="19" t="s">
        <v>1</v>
      </c>
      <c r="C2" s="19" t="s">
        <v>2</v>
      </c>
      <c r="D2" s="19" t="s">
        <v>314</v>
      </c>
      <c r="E2" s="20" t="s">
        <v>4</v>
      </c>
      <c r="F2" s="21" t="s">
        <v>5</v>
      </c>
      <c r="G2" s="21" t="s">
        <v>6</v>
      </c>
      <c r="H2" s="19" t="s">
        <v>7</v>
      </c>
      <c r="I2" s="19" t="s">
        <v>315</v>
      </c>
    </row>
    <row r="3" spans="1:11" x14ac:dyDescent="0.25">
      <c r="A3" s="22">
        <v>42167</v>
      </c>
      <c r="B3" s="23">
        <f>C3-SUM($D$3:D3)</f>
        <v>582245</v>
      </c>
      <c r="C3" s="24">
        <v>4080298</v>
      </c>
      <c r="D3" s="24">
        <v>3498053</v>
      </c>
      <c r="E3" s="25">
        <v>3498053</v>
      </c>
      <c r="F3" s="26">
        <f>C3/SUM($D$3:D3)</f>
        <v>1.1664483071011216</v>
      </c>
      <c r="G3" s="26">
        <v>0</v>
      </c>
      <c r="H3" s="24">
        <v>5335.12</v>
      </c>
      <c r="I3" s="24"/>
      <c r="J3">
        <v>1</v>
      </c>
      <c r="K3">
        <v>1</v>
      </c>
    </row>
    <row r="4" spans="1:11" x14ac:dyDescent="0.25">
      <c r="A4" s="22">
        <v>42170</v>
      </c>
      <c r="B4" s="23">
        <f>C4-SUM($D$3:D4)</f>
        <v>575760</v>
      </c>
      <c r="C4" s="24">
        <v>1273813</v>
      </c>
      <c r="D4" s="24">
        <v>-2800000</v>
      </c>
      <c r="E4" s="25">
        <f t="shared" ref="E4:E19" si="0">E3+D4/F3</f>
        <v>1097603.7190896347</v>
      </c>
      <c r="F4" s="26">
        <f>C4/E4</f>
        <v>1.1605399816397446</v>
      </c>
      <c r="G4" s="27">
        <f t="shared" ref="G4:G12" si="1">F4/F3-1</f>
        <v>-5.0652270018380907E-3</v>
      </c>
      <c r="H4" s="24">
        <v>5221.17</v>
      </c>
      <c r="I4" s="27">
        <f t="shared" ref="I4:I12" si="2">H4/H3-1</f>
        <v>-2.1358469912579281E-2</v>
      </c>
      <c r="J4" s="13">
        <f>F4/$F$3</f>
        <v>0.99493477299816191</v>
      </c>
      <c r="K4" s="13">
        <f>H4/$H$3</f>
        <v>0.97864153008742072</v>
      </c>
    </row>
    <row r="5" spans="1:11" x14ac:dyDescent="0.25">
      <c r="A5" s="22">
        <v>42171</v>
      </c>
      <c r="B5" s="23">
        <f>C5-SUM($D$3:D5)</f>
        <v>572008</v>
      </c>
      <c r="C5" s="24">
        <v>570061</v>
      </c>
      <c r="D5" s="24">
        <v>-700000</v>
      </c>
      <c r="E5" s="25">
        <f t="shared" si="0"/>
        <v>494436.21855168743</v>
      </c>
      <c r="F5" s="26">
        <f t="shared" ref="F5:F12" si="3">C5/E5</f>
        <v>1.1529515407868667</v>
      </c>
      <c r="G5" s="27">
        <f t="shared" si="1"/>
        <v>-6.5387155745862957E-3</v>
      </c>
      <c r="H5" s="24">
        <v>5064.82</v>
      </c>
      <c r="I5" s="27">
        <f t="shared" si="2"/>
        <v>-2.9945395380728934E-2</v>
      </c>
      <c r="J5" s="13">
        <f t="shared" ref="J5:J42" si="4">F5/$F$3</f>
        <v>0.98842917750226134</v>
      </c>
      <c r="K5" s="13">
        <f t="shared" ref="K5:K42" si="5">H5/$H$3</f>
        <v>0.9493357225329514</v>
      </c>
    </row>
    <row r="6" spans="1:11" x14ac:dyDescent="0.25">
      <c r="A6" s="22">
        <v>42172</v>
      </c>
      <c r="B6" s="23">
        <f>C6-SUM($D$3:D6)</f>
        <v>570413</v>
      </c>
      <c r="C6" s="24">
        <v>568466</v>
      </c>
      <c r="D6" s="24">
        <v>0</v>
      </c>
      <c r="E6" s="25">
        <f t="shared" si="0"/>
        <v>494436.21855168743</v>
      </c>
      <c r="F6" s="26">
        <f t="shared" si="3"/>
        <v>1.1497256444221706</v>
      </c>
      <c r="G6" s="27">
        <f t="shared" si="1"/>
        <v>-2.7979461847064124E-3</v>
      </c>
      <c r="H6" s="24">
        <v>5138.83</v>
      </c>
      <c r="I6" s="27">
        <f t="shared" si="2"/>
        <v>1.4612562736681767E-2</v>
      </c>
      <c r="J6" s="13">
        <f t="shared" si="4"/>
        <v>0.98566360585621626</v>
      </c>
      <c r="K6" s="13">
        <f t="shared" si="5"/>
        <v>0.9632079503366372</v>
      </c>
    </row>
    <row r="7" spans="1:11" x14ac:dyDescent="0.25">
      <c r="A7" s="22">
        <v>42173</v>
      </c>
      <c r="B7" s="23">
        <f>C7-SUM($D$3:D7)</f>
        <v>566691</v>
      </c>
      <c r="C7" s="24">
        <v>564744</v>
      </c>
      <c r="D7" s="24">
        <v>0</v>
      </c>
      <c r="E7" s="25">
        <f t="shared" si="0"/>
        <v>494436.21855168743</v>
      </c>
      <c r="F7" s="26">
        <f t="shared" si="3"/>
        <v>1.142197878736027</v>
      </c>
      <c r="G7" s="27">
        <f t="shared" si="1"/>
        <v>-6.5474452297938912E-3</v>
      </c>
      <c r="H7" s="24">
        <v>4930.55</v>
      </c>
      <c r="I7" s="27">
        <f t="shared" si="2"/>
        <v>-4.0530626621234744E-2</v>
      </c>
      <c r="J7" s="13">
        <f t="shared" si="4"/>
        <v>0.97921002738187157</v>
      </c>
      <c r="K7" s="13">
        <f t="shared" si="5"/>
        <v>0.92416852854293818</v>
      </c>
    </row>
    <row r="8" spans="1:11" x14ac:dyDescent="0.25">
      <c r="A8" s="22">
        <v>42174</v>
      </c>
      <c r="B8" s="23">
        <f>C8-SUM($D$3:D8)</f>
        <v>559096</v>
      </c>
      <c r="C8" s="24">
        <v>167149</v>
      </c>
      <c r="D8" s="24">
        <v>-390000</v>
      </c>
      <c r="E8" s="25">
        <f t="shared" si="0"/>
        <v>152989.25278461759</v>
      </c>
      <c r="F8" s="26">
        <f t="shared" si="3"/>
        <v>1.0925538687042082</v>
      </c>
      <c r="G8" s="27">
        <f t="shared" si="1"/>
        <v>-4.3463581009934527E-2</v>
      </c>
      <c r="H8" s="24">
        <v>4637.05</v>
      </c>
      <c r="I8" s="27">
        <f t="shared" si="2"/>
        <v>-5.9526827635862145E-2</v>
      </c>
      <c r="J8" s="13">
        <f t="shared" si="4"/>
        <v>0.93665005303101934</v>
      </c>
      <c r="K8" s="13">
        <f t="shared" si="5"/>
        <v>0.86915570783787433</v>
      </c>
    </row>
    <row r="9" spans="1:11" x14ac:dyDescent="0.25">
      <c r="A9" s="22">
        <v>42178</v>
      </c>
      <c r="B9" s="23">
        <f>C9-SUM($D$3:D9)</f>
        <v>565194</v>
      </c>
      <c r="C9" s="24">
        <v>473247</v>
      </c>
      <c r="D9" s="24">
        <v>300000</v>
      </c>
      <c r="E9" s="25">
        <f t="shared" si="0"/>
        <v>427575.25590390206</v>
      </c>
      <c r="F9" s="26">
        <f t="shared" si="3"/>
        <v>1.1068156855792486</v>
      </c>
      <c r="G9" s="27">
        <f t="shared" si="1"/>
        <v>1.3053650976454945E-2</v>
      </c>
      <c r="H9" s="24">
        <v>4786.09</v>
      </c>
      <c r="I9" s="27">
        <f t="shared" si="2"/>
        <v>3.2141124206122473E-2</v>
      </c>
      <c r="J9" s="13">
        <f t="shared" si="4"/>
        <v>0.94887675591036424</v>
      </c>
      <c r="K9" s="13">
        <f t="shared" si="5"/>
        <v>0.89709134939795176</v>
      </c>
    </row>
    <row r="10" spans="1:11" x14ac:dyDescent="0.25">
      <c r="A10" s="4">
        <v>42179</v>
      </c>
      <c r="B10" s="23">
        <f>C10-SUM($D$3:D10)</f>
        <v>563170</v>
      </c>
      <c r="C10" s="24">
        <v>4271223</v>
      </c>
      <c r="D10" s="24">
        <v>3800000</v>
      </c>
      <c r="E10" s="25">
        <f t="shared" si="0"/>
        <v>3860847.8861262337</v>
      </c>
      <c r="F10" s="26">
        <f t="shared" si="3"/>
        <v>1.1062914484013806</v>
      </c>
      <c r="G10" s="27">
        <f t="shared" si="1"/>
        <v>-4.7364451434717125E-4</v>
      </c>
      <c r="H10" s="24">
        <v>4880.13</v>
      </c>
      <c r="I10" s="27">
        <f t="shared" si="2"/>
        <v>1.9648606691474724E-2</v>
      </c>
      <c r="J10" s="13">
        <f t="shared" si="4"/>
        <v>0.94842732564013588</v>
      </c>
      <c r="K10" s="13">
        <f t="shared" si="5"/>
        <v>0.91471794448859634</v>
      </c>
    </row>
    <row r="11" spans="1:11" x14ac:dyDescent="0.25">
      <c r="A11" s="4">
        <v>42180</v>
      </c>
      <c r="B11" s="23">
        <f>C11-SUM($D$3:D11)</f>
        <v>598705</v>
      </c>
      <c r="C11" s="24">
        <v>4306758</v>
      </c>
      <c r="D11" s="24"/>
      <c r="E11" s="25">
        <f t="shared" si="0"/>
        <v>3860847.8861262337</v>
      </c>
      <c r="F11" s="26">
        <f t="shared" si="3"/>
        <v>1.1154953852173566</v>
      </c>
      <c r="G11" s="27">
        <f t="shared" si="1"/>
        <v>8.3196311688713553E-3</v>
      </c>
      <c r="H11" s="24">
        <v>4706.5200000000004</v>
      </c>
      <c r="I11" s="27">
        <f t="shared" si="2"/>
        <v>-3.5574871980869283E-2</v>
      </c>
      <c r="J11" s="13">
        <f t="shared" si="4"/>
        <v>0.95631789117994082</v>
      </c>
      <c r="K11" s="13">
        <f t="shared" si="5"/>
        <v>0.8821769707148106</v>
      </c>
    </row>
    <row r="12" spans="1:11" x14ac:dyDescent="0.25">
      <c r="A12" s="4">
        <v>42181</v>
      </c>
      <c r="B12" s="23">
        <f>C12-SUM($D$3:D12)</f>
        <v>562229</v>
      </c>
      <c r="C12" s="24">
        <v>4270282</v>
      </c>
      <c r="D12" s="24">
        <v>0</v>
      </c>
      <c r="E12" s="25">
        <f t="shared" si="0"/>
        <v>3860847.8861262337</v>
      </c>
      <c r="F12" s="26">
        <f t="shared" si="3"/>
        <v>1.1060477195553462</v>
      </c>
      <c r="G12" s="27">
        <f t="shared" si="1"/>
        <v>-8.4694798268210025E-3</v>
      </c>
      <c r="H12" s="24">
        <v>4336.2</v>
      </c>
      <c r="I12" s="27">
        <f t="shared" si="2"/>
        <v>-7.8682338543127561E-2</v>
      </c>
      <c r="J12" s="13">
        <f t="shared" si="4"/>
        <v>0.94821837609256432</v>
      </c>
      <c r="K12" s="13">
        <f t="shared" si="5"/>
        <v>0.8127652236500772</v>
      </c>
    </row>
    <row r="13" spans="1:11" x14ac:dyDescent="0.25">
      <c r="A13" s="4">
        <v>42182</v>
      </c>
      <c r="B13" s="23">
        <f>C13-SUM($D$3:D13)</f>
        <v>562229</v>
      </c>
      <c r="C13" s="24">
        <v>4270282</v>
      </c>
      <c r="D13" s="24">
        <v>0</v>
      </c>
      <c r="E13" s="25">
        <f t="shared" si="0"/>
        <v>3860847.8861262337</v>
      </c>
      <c r="F13" s="26">
        <f t="shared" ref="F13:F19" si="6">C13/E13</f>
        <v>1.1060477195553462</v>
      </c>
      <c r="G13" s="27">
        <f t="shared" ref="G13:G19" si="7">F13/F12-1</f>
        <v>0</v>
      </c>
      <c r="H13" s="24">
        <v>4336.2</v>
      </c>
      <c r="I13" s="27">
        <f t="shared" ref="I13:I19" si="8">H13/H12-1</f>
        <v>0</v>
      </c>
      <c r="J13" s="13">
        <f t="shared" si="4"/>
        <v>0.94821837609256432</v>
      </c>
      <c r="K13" s="13">
        <f t="shared" si="5"/>
        <v>0.8127652236500772</v>
      </c>
    </row>
    <row r="14" spans="1:11" x14ac:dyDescent="0.25">
      <c r="A14" s="4">
        <v>42183</v>
      </c>
      <c r="B14" s="23">
        <f>C14-SUM($D$3:D14)</f>
        <v>562229</v>
      </c>
      <c r="C14" s="24">
        <v>4270282</v>
      </c>
      <c r="D14" s="24">
        <v>0</v>
      </c>
      <c r="E14" s="25">
        <f t="shared" si="0"/>
        <v>3860847.8861262337</v>
      </c>
      <c r="F14" s="26">
        <f t="shared" si="6"/>
        <v>1.1060477195553462</v>
      </c>
      <c r="G14" s="27">
        <f t="shared" si="7"/>
        <v>0</v>
      </c>
      <c r="H14" s="24">
        <v>4336.2</v>
      </c>
      <c r="I14" s="27">
        <f t="shared" si="8"/>
        <v>0</v>
      </c>
      <c r="J14" s="13">
        <f t="shared" si="4"/>
        <v>0.94821837609256432</v>
      </c>
      <c r="K14" s="13">
        <f t="shared" si="5"/>
        <v>0.8127652236500772</v>
      </c>
    </row>
    <row r="15" spans="1:11" x14ac:dyDescent="0.25">
      <c r="A15" s="4">
        <v>42184</v>
      </c>
      <c r="B15" s="23">
        <f>C15-SUM($D$3:D15)</f>
        <v>520315</v>
      </c>
      <c r="C15" s="28">
        <v>4228368</v>
      </c>
      <c r="D15" s="24">
        <v>0</v>
      </c>
      <c r="E15" s="25">
        <f t="shared" si="0"/>
        <v>3860847.8861262337</v>
      </c>
      <c r="F15" s="26">
        <f t="shared" si="6"/>
        <v>1.095191554993511</v>
      </c>
      <c r="G15" s="27">
        <f t="shared" si="7"/>
        <v>-9.8152768365180609E-3</v>
      </c>
      <c r="H15" s="24">
        <v>4191.5</v>
      </c>
      <c r="I15" s="27">
        <f t="shared" si="8"/>
        <v>-3.3370232000368927E-2</v>
      </c>
      <c r="J15" s="13">
        <f t="shared" si="4"/>
        <v>0.93891135022974215</v>
      </c>
      <c r="K15" s="13">
        <f t="shared" si="5"/>
        <v>0.78564305957504232</v>
      </c>
    </row>
    <row r="16" spans="1:11" x14ac:dyDescent="0.25">
      <c r="A16" s="4">
        <v>42185</v>
      </c>
      <c r="B16" s="23">
        <f>C16-SUM($D$3:D16)</f>
        <v>606691</v>
      </c>
      <c r="C16" s="28">
        <v>4314744</v>
      </c>
      <c r="D16" s="24">
        <v>0</v>
      </c>
      <c r="E16" s="25">
        <f t="shared" si="0"/>
        <v>3860847.8861262337</v>
      </c>
      <c r="F16" s="26">
        <f t="shared" si="6"/>
        <v>1.1175638427778571</v>
      </c>
      <c r="G16" s="27">
        <f t="shared" si="7"/>
        <v>2.0427739496656994E-2</v>
      </c>
      <c r="H16" s="28">
        <v>4473</v>
      </c>
      <c r="I16" s="27">
        <f t="shared" si="8"/>
        <v>6.7159728020994791E-2</v>
      </c>
      <c r="J16" s="13">
        <f t="shared" si="4"/>
        <v>0.95809118670268978</v>
      </c>
      <c r="K16" s="13">
        <f t="shared" si="5"/>
        <v>0.83840663377768454</v>
      </c>
    </row>
    <row r="17" spans="1:11" x14ac:dyDescent="0.25">
      <c r="A17" s="4">
        <v>42186</v>
      </c>
      <c r="B17" s="23">
        <f>C17-SUM($D$3:D17)</f>
        <v>608885</v>
      </c>
      <c r="C17" s="24">
        <v>4316938</v>
      </c>
      <c r="D17" s="24">
        <v>0</v>
      </c>
      <c r="E17" s="25">
        <f t="shared" si="0"/>
        <v>3860847.8861262337</v>
      </c>
      <c r="F17" s="26">
        <f t="shared" si="6"/>
        <v>1.1181321117344984</v>
      </c>
      <c r="G17" s="27">
        <f t="shared" si="7"/>
        <v>5.0848903202593831E-4</v>
      </c>
      <c r="H17" s="24">
        <v>4253.0200000000004</v>
      </c>
      <c r="I17" s="27">
        <f t="shared" si="8"/>
        <v>-4.9179521573887719E-2</v>
      </c>
      <c r="J17" s="13">
        <f t="shared" si="4"/>
        <v>0.95857836556280884</v>
      </c>
      <c r="K17" s="13">
        <f t="shared" si="5"/>
        <v>0.79717419664412437</v>
      </c>
    </row>
    <row r="18" spans="1:11" x14ac:dyDescent="0.25">
      <c r="A18" s="4">
        <v>42187</v>
      </c>
      <c r="B18" s="23">
        <f>C18-SUM($D$3:D18)</f>
        <v>499282</v>
      </c>
      <c r="C18" s="24">
        <v>4207335</v>
      </c>
      <c r="D18" s="24">
        <v>0</v>
      </c>
      <c r="E18" s="25">
        <f t="shared" si="0"/>
        <v>3860847.8861262337</v>
      </c>
      <c r="F18" s="26">
        <f t="shared" si="6"/>
        <v>1.089743787917377</v>
      </c>
      <c r="G18" s="27">
        <f t="shared" si="7"/>
        <v>-2.5389060486854409E-2</v>
      </c>
      <c r="H18" s="24">
        <v>4108</v>
      </c>
      <c r="I18" s="27">
        <f t="shared" si="8"/>
        <v>-3.4098123215973719E-2</v>
      </c>
      <c r="J18" s="13">
        <f t="shared" si="4"/>
        <v>0.93424096145814473</v>
      </c>
      <c r="K18" s="13">
        <f t="shared" si="5"/>
        <v>0.76999205266235815</v>
      </c>
    </row>
    <row r="19" spans="1:11" x14ac:dyDescent="0.25">
      <c r="A19" s="4">
        <v>42188</v>
      </c>
      <c r="B19" s="23">
        <f>C19-SUM($D$3:D19)</f>
        <v>430670</v>
      </c>
      <c r="C19" s="24">
        <v>2138723</v>
      </c>
      <c r="D19" s="24">
        <v>-2000000</v>
      </c>
      <c r="E19" s="25">
        <f t="shared" si="0"/>
        <v>2025554.1022339438</v>
      </c>
      <c r="F19" s="26">
        <f t="shared" si="6"/>
        <v>1.0558705875302192</v>
      </c>
      <c r="G19" s="27">
        <f t="shared" si="7"/>
        <v>-3.1083637055544289E-2</v>
      </c>
      <c r="H19" s="24">
        <v>3885.92</v>
      </c>
      <c r="I19" s="27">
        <f t="shared" si="8"/>
        <v>-5.4060370009737069E-2</v>
      </c>
      <c r="J19" s="13">
        <f t="shared" si="4"/>
        <v>0.90520135448975692</v>
      </c>
      <c r="K19" s="13">
        <f t="shared" si="5"/>
        <v>0.72836599739087404</v>
      </c>
    </row>
    <row r="20" spans="1:11" x14ac:dyDescent="0.25">
      <c r="A20" s="4">
        <v>42189</v>
      </c>
      <c r="B20" s="23">
        <f>C20-SUM($D$3:D20)</f>
        <v>430670</v>
      </c>
      <c r="C20" s="24">
        <v>2138723</v>
      </c>
      <c r="D20" s="24">
        <v>0</v>
      </c>
      <c r="E20" s="25">
        <f t="shared" ref="E20:E27" si="9">E19+D20/F19</f>
        <v>2025554.1022339438</v>
      </c>
      <c r="F20" s="26">
        <f t="shared" ref="F20:F27" si="10">C20/E20</f>
        <v>1.0558705875302192</v>
      </c>
      <c r="G20" s="27">
        <f t="shared" ref="G20:G37" si="11">F20/F19-1</f>
        <v>0</v>
      </c>
      <c r="H20" s="24">
        <v>3885.92</v>
      </c>
      <c r="I20" s="27">
        <f t="shared" ref="I20:I42" si="12">H20/H19-1</f>
        <v>0</v>
      </c>
      <c r="J20" s="13">
        <f t="shared" si="4"/>
        <v>0.90520135448975692</v>
      </c>
      <c r="K20" s="13">
        <f t="shared" si="5"/>
        <v>0.72836599739087404</v>
      </c>
    </row>
    <row r="21" spans="1:11" x14ac:dyDescent="0.25">
      <c r="A21" s="4">
        <v>42190</v>
      </c>
      <c r="B21" s="23">
        <f>C21-SUM($D$3:D21)</f>
        <v>430670</v>
      </c>
      <c r="C21" s="24">
        <v>2138723</v>
      </c>
      <c r="D21" s="24">
        <v>0</v>
      </c>
      <c r="E21" s="25">
        <f t="shared" si="9"/>
        <v>2025554.1022339438</v>
      </c>
      <c r="F21" s="26">
        <f t="shared" si="10"/>
        <v>1.0558705875302192</v>
      </c>
      <c r="G21" s="27">
        <f t="shared" si="11"/>
        <v>0</v>
      </c>
      <c r="H21" s="24">
        <v>3885.92</v>
      </c>
      <c r="I21" s="27">
        <f t="shared" si="12"/>
        <v>0</v>
      </c>
      <c r="J21" s="13">
        <f t="shared" si="4"/>
        <v>0.90520135448975692</v>
      </c>
      <c r="K21" s="13">
        <f t="shared" si="5"/>
        <v>0.72836599739087404</v>
      </c>
    </row>
    <row r="22" spans="1:11" x14ac:dyDescent="0.25">
      <c r="A22" s="4">
        <v>42191</v>
      </c>
      <c r="B22" s="23">
        <f>C22-SUM($D$3:D22)</f>
        <v>349677</v>
      </c>
      <c r="C22" s="24">
        <v>3057730</v>
      </c>
      <c r="D22" s="24">
        <v>1000000</v>
      </c>
      <c r="E22" s="25">
        <f t="shared" si="9"/>
        <v>2972639.864267617</v>
      </c>
      <c r="F22" s="26">
        <f t="shared" si="10"/>
        <v>1.0286244347171691</v>
      </c>
      <c r="G22" s="27">
        <f t="shared" si="11"/>
        <v>-2.5804443399433441E-2</v>
      </c>
      <c r="H22" s="24">
        <v>3998.54</v>
      </c>
      <c r="I22" s="27">
        <f t="shared" si="12"/>
        <v>2.8981553917733827E-2</v>
      </c>
      <c r="J22" s="13">
        <f t="shared" si="4"/>
        <v>0.88184313737273556</v>
      </c>
      <c r="K22" s="13">
        <f t="shared" si="5"/>
        <v>0.74947517581610157</v>
      </c>
    </row>
    <row r="23" spans="1:11" x14ac:dyDescent="0.25">
      <c r="A23" s="4">
        <v>42192</v>
      </c>
      <c r="B23" s="23">
        <f>C23-SUM($D$3:D23)</f>
        <v>333406</v>
      </c>
      <c r="C23" s="24">
        <v>3041459</v>
      </c>
      <c r="D23" s="24">
        <v>0</v>
      </c>
      <c r="E23" s="25">
        <f t="shared" si="9"/>
        <v>2972639.864267617</v>
      </c>
      <c r="F23" s="26">
        <f t="shared" si="10"/>
        <v>1.0231508486983634</v>
      </c>
      <c r="G23" s="27">
        <f t="shared" si="11"/>
        <v>-5.321267737831592E-3</v>
      </c>
      <c r="H23" s="24">
        <v>3928</v>
      </c>
      <c r="I23" s="27">
        <f t="shared" si="12"/>
        <v>-1.7641439125280711E-2</v>
      </c>
      <c r="J23" s="13">
        <f t="shared" si="4"/>
        <v>0.8771506139360058</v>
      </c>
      <c r="K23" s="13">
        <f t="shared" si="5"/>
        <v>0.73625335512603285</v>
      </c>
    </row>
    <row r="24" spans="1:11" x14ac:dyDescent="0.25">
      <c r="A24" s="4">
        <v>42193</v>
      </c>
      <c r="B24" s="23">
        <f>C24-SUM($D$3:D24)</f>
        <v>253404</v>
      </c>
      <c r="C24" s="24">
        <v>2961457</v>
      </c>
      <c r="D24" s="24">
        <v>0</v>
      </c>
      <c r="E24" s="25">
        <f t="shared" si="9"/>
        <v>2972639.864267617</v>
      </c>
      <c r="F24" s="26">
        <f t="shared" si="10"/>
        <v>0.99623806960202621</v>
      </c>
      <c r="G24" s="27">
        <f t="shared" si="11"/>
        <v>-2.6303823263769122E-2</v>
      </c>
      <c r="H24" s="24">
        <v>3663.04</v>
      </c>
      <c r="I24" s="27">
        <f t="shared" si="12"/>
        <v>-6.745417515274954E-2</v>
      </c>
      <c r="J24" s="13">
        <f t="shared" si="4"/>
        <v>0.85407819921132644</v>
      </c>
      <c r="K24" s="13">
        <f t="shared" si="5"/>
        <v>0.68658999235256191</v>
      </c>
    </row>
    <row r="25" spans="1:11" x14ac:dyDescent="0.25">
      <c r="A25" s="4">
        <v>42194</v>
      </c>
      <c r="B25" s="23">
        <f>C25-SUM($D$3:D25)</f>
        <v>139758</v>
      </c>
      <c r="C25" s="24">
        <v>2847811</v>
      </c>
      <c r="D25" s="24">
        <v>0</v>
      </c>
      <c r="E25" s="25">
        <f t="shared" si="9"/>
        <v>2972639.864267617</v>
      </c>
      <c r="F25" s="26">
        <f t="shared" si="10"/>
        <v>0.95800740420388208</v>
      </c>
      <c r="G25" s="27">
        <f t="shared" si="11"/>
        <v>-3.8375029588476162E-2</v>
      </c>
      <c r="H25" s="24">
        <v>3897.63</v>
      </c>
      <c r="I25" s="27">
        <f t="shared" si="12"/>
        <v>6.4042434699047801E-2</v>
      </c>
      <c r="J25" s="13">
        <f t="shared" si="4"/>
        <v>0.82130292304571939</v>
      </c>
      <c r="K25" s="13">
        <f t="shared" si="5"/>
        <v>0.73056088710282063</v>
      </c>
    </row>
    <row r="26" spans="1:11" x14ac:dyDescent="0.25">
      <c r="A26" s="4">
        <v>42195</v>
      </c>
      <c r="B26" s="23">
        <f>C26-SUM($D$3:D26)</f>
        <v>261632</v>
      </c>
      <c r="C26" s="24">
        <v>3969685</v>
      </c>
      <c r="D26" s="24">
        <v>1000000</v>
      </c>
      <c r="E26" s="25">
        <f t="shared" si="9"/>
        <v>4016473.1327912714</v>
      </c>
      <c r="F26" s="26">
        <f t="shared" si="10"/>
        <v>0.98835094092643516</v>
      </c>
      <c r="G26" s="27">
        <f t="shared" si="11"/>
        <v>3.1673593115670196E-2</v>
      </c>
      <c r="H26" s="24">
        <v>4106.5600000000004</v>
      </c>
      <c r="I26" s="27">
        <f t="shared" si="12"/>
        <v>5.3604369835002386E-2</v>
      </c>
      <c r="J26" s="13">
        <f t="shared" si="4"/>
        <v>0.84731653765498005</v>
      </c>
      <c r="K26" s="13">
        <f t="shared" si="5"/>
        <v>0.76972214308206754</v>
      </c>
    </row>
    <row r="27" spans="1:11" x14ac:dyDescent="0.25">
      <c r="A27" s="4">
        <v>42196</v>
      </c>
      <c r="B27" s="23">
        <f>C27-SUM($D$3:D27)</f>
        <v>261632</v>
      </c>
      <c r="C27" s="24">
        <v>3969685</v>
      </c>
      <c r="D27" s="24">
        <v>0</v>
      </c>
      <c r="E27" s="25">
        <f t="shared" si="9"/>
        <v>4016473.1327912714</v>
      </c>
      <c r="F27" s="26">
        <f t="shared" si="10"/>
        <v>0.98835094092643516</v>
      </c>
      <c r="G27" s="27">
        <f t="shared" si="11"/>
        <v>0</v>
      </c>
      <c r="H27" s="24">
        <v>4106.5600000000004</v>
      </c>
      <c r="I27" s="27">
        <f t="shared" si="12"/>
        <v>0</v>
      </c>
      <c r="J27" s="13">
        <f t="shared" si="4"/>
        <v>0.84731653765498005</v>
      </c>
      <c r="K27" s="13">
        <f t="shared" si="5"/>
        <v>0.76972214308206754</v>
      </c>
    </row>
    <row r="28" spans="1:11" x14ac:dyDescent="0.25">
      <c r="A28" s="4">
        <v>42197</v>
      </c>
      <c r="B28" s="23">
        <f>C28-SUM($D$3:D28)</f>
        <v>261632</v>
      </c>
      <c r="C28" s="24">
        <v>3969685</v>
      </c>
      <c r="D28" s="24">
        <v>0</v>
      </c>
      <c r="E28" s="25">
        <f t="shared" ref="E28:E42" si="13">E27+D28/F27</f>
        <v>4016473.1327912714</v>
      </c>
      <c r="F28" s="26">
        <f t="shared" ref="F28:F42" si="14">C28/E28</f>
        <v>0.98835094092643516</v>
      </c>
      <c r="G28" s="27">
        <f t="shared" si="11"/>
        <v>0</v>
      </c>
      <c r="H28" s="24">
        <v>4106.5600000000004</v>
      </c>
      <c r="I28" s="27">
        <f t="shared" si="12"/>
        <v>0</v>
      </c>
      <c r="J28" s="13">
        <f t="shared" si="4"/>
        <v>0.84731653765498005</v>
      </c>
      <c r="K28" s="13">
        <f t="shared" si="5"/>
        <v>0.76972214308206754</v>
      </c>
    </row>
    <row r="29" spans="1:11" x14ac:dyDescent="0.25">
      <c r="A29" s="4">
        <v>42198</v>
      </c>
      <c r="B29" s="23">
        <f>C29-SUM($D$3:D29)</f>
        <v>305540</v>
      </c>
      <c r="C29" s="24">
        <v>3913593</v>
      </c>
      <c r="D29" s="24">
        <v>-100000</v>
      </c>
      <c r="E29" s="25">
        <f t="shared" si="13"/>
        <v>3915294.4968846119</v>
      </c>
      <c r="F29" s="26">
        <f t="shared" si="14"/>
        <v>0.99956542301327123</v>
      </c>
      <c r="G29" s="27">
        <f t="shared" si="11"/>
        <v>1.1346659999457387E-2</v>
      </c>
      <c r="H29" s="24">
        <v>4211.8100000000004</v>
      </c>
      <c r="I29" s="27">
        <f t="shared" si="12"/>
        <v>2.5629724148679145E-2</v>
      </c>
      <c r="J29" s="13">
        <f t="shared" si="4"/>
        <v>0.85693075031966848</v>
      </c>
      <c r="K29" s="13">
        <f t="shared" si="5"/>
        <v>0.78944990928039116</v>
      </c>
    </row>
    <row r="30" spans="1:11" x14ac:dyDescent="0.25">
      <c r="A30" s="4">
        <v>42199</v>
      </c>
      <c r="B30" s="23">
        <f>C30-SUM($D$3:D30)</f>
        <v>381450</v>
      </c>
      <c r="C30" s="24">
        <v>3989503</v>
      </c>
      <c r="D30" s="24">
        <v>0</v>
      </c>
      <c r="E30" s="25">
        <f t="shared" si="13"/>
        <v>3915294.4968846119</v>
      </c>
      <c r="F30" s="26">
        <f t="shared" si="14"/>
        <v>1.0189534920487937</v>
      </c>
      <c r="G30" s="27">
        <f t="shared" si="11"/>
        <v>1.9396498307310051E-2</v>
      </c>
      <c r="H30" s="24">
        <v>4112.1499999999996</v>
      </c>
      <c r="I30" s="27">
        <f t="shared" si="12"/>
        <v>-2.3662036036763423E-2</v>
      </c>
      <c r="J30" s="13">
        <f t="shared" si="4"/>
        <v>0.87355220616772578</v>
      </c>
      <c r="K30" s="13">
        <f t="shared" si="5"/>
        <v>0.77076991707777887</v>
      </c>
    </row>
    <row r="31" spans="1:11" x14ac:dyDescent="0.25">
      <c r="A31" s="4">
        <v>42200</v>
      </c>
      <c r="B31" s="23">
        <f>C31-SUM($D$3:D31)</f>
        <v>407020</v>
      </c>
      <c r="C31" s="24">
        <v>4015073</v>
      </c>
      <c r="D31" s="24">
        <v>0</v>
      </c>
      <c r="E31" s="25">
        <f t="shared" si="13"/>
        <v>3915294.4968846119</v>
      </c>
      <c r="F31" s="26">
        <f t="shared" si="14"/>
        <v>1.025484290695063</v>
      </c>
      <c r="G31" s="27">
        <f t="shared" si="11"/>
        <v>6.409319657110002E-3</v>
      </c>
      <c r="H31" s="24">
        <v>3966.76</v>
      </c>
      <c r="I31" s="27">
        <f t="shared" si="12"/>
        <v>-3.5356200527704384E-2</v>
      </c>
      <c r="J31" s="13">
        <f t="shared" si="4"/>
        <v>0.87915108149422849</v>
      </c>
      <c r="K31" s="13">
        <f t="shared" si="5"/>
        <v>0.74351842132885493</v>
      </c>
    </row>
    <row r="32" spans="1:11" x14ac:dyDescent="0.25">
      <c r="A32" s="4">
        <v>42201</v>
      </c>
      <c r="B32" s="23">
        <f>C32-SUM($D$3:D32)</f>
        <v>385202</v>
      </c>
      <c r="C32" s="24">
        <v>3993255</v>
      </c>
      <c r="D32" s="24">
        <v>0</v>
      </c>
      <c r="E32" s="25">
        <f t="shared" si="13"/>
        <v>3915294.4968846119</v>
      </c>
      <c r="F32" s="26">
        <f t="shared" si="14"/>
        <v>1.0199117852252035</v>
      </c>
      <c r="G32" s="27">
        <f t="shared" si="11"/>
        <v>-5.4340232419186618E-3</v>
      </c>
      <c r="H32" s="24">
        <v>3997.36</v>
      </c>
      <c r="I32" s="27">
        <f t="shared" si="12"/>
        <v>7.714104205951422E-3</v>
      </c>
      <c r="J32" s="13">
        <f t="shared" si="4"/>
        <v>0.8743737540842309</v>
      </c>
      <c r="K32" s="13">
        <f t="shared" si="5"/>
        <v>0.74925399991003017</v>
      </c>
    </row>
    <row r="33" spans="1:11" x14ac:dyDescent="0.25">
      <c r="A33" s="4">
        <v>42212</v>
      </c>
      <c r="B33" s="23">
        <f>C33-SUM($D$3:D33)</f>
        <v>710879</v>
      </c>
      <c r="C33" s="24">
        <v>4318932</v>
      </c>
      <c r="D33" s="24">
        <v>0</v>
      </c>
      <c r="E33" s="25">
        <f t="shared" si="13"/>
        <v>3915294.4968846119</v>
      </c>
      <c r="F33" s="26">
        <f t="shared" si="14"/>
        <v>1.1030925013269273</v>
      </c>
      <c r="G33" s="27">
        <f t="shared" si="11"/>
        <v>8.1556775112032742E-2</v>
      </c>
      <c r="H33" s="24">
        <v>3818.73</v>
      </c>
      <c r="I33" s="27">
        <f t="shared" si="12"/>
        <v>-4.4686993415654408E-2</v>
      </c>
      <c r="J33" s="13">
        <f t="shared" si="4"/>
        <v>0.94568485770994237</v>
      </c>
      <c r="K33" s="13">
        <f t="shared" si="5"/>
        <v>0.71577209134939801</v>
      </c>
    </row>
    <row r="34" spans="1:11" x14ac:dyDescent="0.25">
      <c r="A34" s="4">
        <v>42213</v>
      </c>
      <c r="B34" s="23">
        <f>C34-SUM($D$3:D34)</f>
        <v>658688</v>
      </c>
      <c r="C34" s="24">
        <v>4266741</v>
      </c>
      <c r="D34" s="24">
        <v>0</v>
      </c>
      <c r="E34" s="25">
        <f t="shared" si="13"/>
        <v>3915294.4968846119</v>
      </c>
      <c r="F34" s="26">
        <f t="shared" si="14"/>
        <v>1.0897624695651968</v>
      </c>
      <c r="G34" s="27">
        <f t="shared" si="11"/>
        <v>-1.2084237492046679E-2</v>
      </c>
      <c r="H34" s="24">
        <v>3811.09</v>
      </c>
      <c r="I34" s="27">
        <f t="shared" si="12"/>
        <v>-2.0006651425997779E-3</v>
      </c>
      <c r="J34" s="13">
        <f t="shared" si="4"/>
        <v>0.93425697729674295</v>
      </c>
      <c r="K34" s="13">
        <f t="shared" si="5"/>
        <v>0.71434007107618946</v>
      </c>
    </row>
    <row r="35" spans="1:11" x14ac:dyDescent="0.25">
      <c r="A35" s="4">
        <v>42214</v>
      </c>
      <c r="B35" s="23">
        <f>C35-SUM($D$3:D35)</f>
        <v>659858</v>
      </c>
      <c r="C35" s="24">
        <v>4267911</v>
      </c>
      <c r="D35" s="24">
        <v>0</v>
      </c>
      <c r="E35" s="25">
        <f t="shared" si="13"/>
        <v>3915294.4968846119</v>
      </c>
      <c r="F35" s="26">
        <f t="shared" si="14"/>
        <v>1.0900612976612523</v>
      </c>
      <c r="G35" s="27">
        <f t="shared" si="11"/>
        <v>2.7421397267857195E-4</v>
      </c>
      <c r="H35" s="24">
        <v>3930.38</v>
      </c>
      <c r="I35" s="27">
        <f t="shared" si="12"/>
        <v>3.1300756476493552E-2</v>
      </c>
      <c r="J35" s="13">
        <f t="shared" si="4"/>
        <v>0.93451316361399017</v>
      </c>
      <c r="K35" s="13">
        <f t="shared" si="5"/>
        <v>0.7366994556823464</v>
      </c>
    </row>
    <row r="36" spans="1:11" x14ac:dyDescent="0.25">
      <c r="A36" s="4">
        <v>42215</v>
      </c>
      <c r="B36" s="23">
        <f>C36-SUM($D$3:D36)</f>
        <v>607024</v>
      </c>
      <c r="C36" s="24">
        <v>4215077</v>
      </c>
      <c r="D36" s="24">
        <v>0</v>
      </c>
      <c r="E36" s="25">
        <f t="shared" si="13"/>
        <v>3915294.4968846119</v>
      </c>
      <c r="F36" s="26">
        <f t="shared" si="14"/>
        <v>1.076567038151006</v>
      </c>
      <c r="G36" s="27">
        <f t="shared" si="11"/>
        <v>-1.2379358426171549E-2</v>
      </c>
      <c r="H36" s="24">
        <v>3815.41</v>
      </c>
      <c r="I36" s="27">
        <f t="shared" si="12"/>
        <v>-2.9251624524855191E-2</v>
      </c>
      <c r="J36" s="13">
        <f t="shared" si="4"/>
        <v>0.92294449020763714</v>
      </c>
      <c r="K36" s="13">
        <f t="shared" si="5"/>
        <v>0.71514979981706128</v>
      </c>
    </row>
    <row r="37" spans="1:11" x14ac:dyDescent="0.25">
      <c r="A37" s="4">
        <v>42216</v>
      </c>
      <c r="B37" s="23">
        <f>C37-SUM($D$3:D37)</f>
        <v>655328</v>
      </c>
      <c r="C37" s="24">
        <v>3713381</v>
      </c>
      <c r="D37" s="24">
        <v>-550000</v>
      </c>
      <c r="E37" s="25">
        <f t="shared" si="13"/>
        <v>3404411.3093920616</v>
      </c>
      <c r="F37" s="26">
        <f t="shared" si="14"/>
        <v>1.0907556879967928</v>
      </c>
      <c r="G37" s="27">
        <f t="shared" si="11"/>
        <v>1.317953210805678E-2</v>
      </c>
      <c r="H37" s="24">
        <v>3816.7</v>
      </c>
      <c r="I37" s="27">
        <f t="shared" si="12"/>
        <v>3.3810258923683278E-4</v>
      </c>
      <c r="J37" s="13">
        <f t="shared" si="4"/>
        <v>0.93510846675028281</v>
      </c>
      <c r="K37" s="13">
        <f t="shared" si="5"/>
        <v>0.71539159381607165</v>
      </c>
    </row>
    <row r="38" spans="1:11" x14ac:dyDescent="0.25">
      <c r="A38" s="4">
        <v>42217</v>
      </c>
      <c r="B38" s="23">
        <f>C38-SUM($D$3:D38)</f>
        <v>655328</v>
      </c>
      <c r="C38" s="24">
        <v>3713381</v>
      </c>
      <c r="D38" s="24">
        <v>0</v>
      </c>
      <c r="E38" s="25">
        <f t="shared" si="13"/>
        <v>3404411.3093920616</v>
      </c>
      <c r="F38" s="26">
        <f t="shared" si="14"/>
        <v>1.0907556879967928</v>
      </c>
      <c r="G38" s="27">
        <f t="shared" ref="G38:G48" si="15">F38/F37-1</f>
        <v>0</v>
      </c>
      <c r="H38" s="24">
        <v>3816.7</v>
      </c>
      <c r="I38" s="27">
        <f t="shared" si="12"/>
        <v>0</v>
      </c>
      <c r="J38" s="13">
        <f t="shared" si="4"/>
        <v>0.93510846675028281</v>
      </c>
      <c r="K38" s="13">
        <f t="shared" si="5"/>
        <v>0.71539159381607165</v>
      </c>
    </row>
    <row r="39" spans="1:11" x14ac:dyDescent="0.25">
      <c r="A39" s="4">
        <v>42218</v>
      </c>
      <c r="B39" s="23">
        <f>C39-SUM($D$3:D39)</f>
        <v>655328</v>
      </c>
      <c r="C39" s="24">
        <v>3713381</v>
      </c>
      <c r="D39" s="24">
        <v>0</v>
      </c>
      <c r="E39" s="25">
        <f t="shared" si="13"/>
        <v>3404411.3093920616</v>
      </c>
      <c r="F39" s="26">
        <f t="shared" si="14"/>
        <v>1.0907556879967928</v>
      </c>
      <c r="G39" s="27">
        <f t="shared" si="15"/>
        <v>0</v>
      </c>
      <c r="H39" s="24">
        <v>3816.7</v>
      </c>
      <c r="I39" s="27">
        <f t="shared" si="12"/>
        <v>0</v>
      </c>
      <c r="J39" s="13">
        <f t="shared" si="4"/>
        <v>0.93510846675028281</v>
      </c>
      <c r="K39" s="13">
        <f t="shared" si="5"/>
        <v>0.71539159381607165</v>
      </c>
    </row>
    <row r="40" spans="1:11" x14ac:dyDescent="0.25">
      <c r="A40" s="4">
        <v>42219</v>
      </c>
      <c r="B40" s="23">
        <f>C40-SUM($D$3:D40)</f>
        <v>650080</v>
      </c>
      <c r="C40" s="24">
        <v>3708133</v>
      </c>
      <c r="D40" s="24">
        <v>0</v>
      </c>
      <c r="E40" s="25">
        <f t="shared" si="13"/>
        <v>3404411.3093920616</v>
      </c>
      <c r="F40" s="26">
        <f t="shared" si="14"/>
        <v>1.0892141586329576</v>
      </c>
      <c r="G40" s="27">
        <f t="shared" si="15"/>
        <v>-1.4132673162275955E-3</v>
      </c>
      <c r="H40" s="24">
        <v>3829.24</v>
      </c>
      <c r="I40" s="27">
        <f t="shared" si="12"/>
        <v>3.285560824796363E-3</v>
      </c>
      <c r="J40" s="13">
        <f t="shared" si="4"/>
        <v>0.93378690851709689</v>
      </c>
      <c r="K40" s="13">
        <f t="shared" si="5"/>
        <v>0.71774205641110222</v>
      </c>
    </row>
    <row r="41" spans="1:11" x14ac:dyDescent="0.25">
      <c r="A41" s="4">
        <v>42220</v>
      </c>
      <c r="B41" s="23">
        <f>C41-SUM($D$3:D41)</f>
        <v>654131</v>
      </c>
      <c r="C41" s="24">
        <v>3712184</v>
      </c>
      <c r="D41" s="24">
        <v>0</v>
      </c>
      <c r="E41" s="25">
        <f t="shared" si="13"/>
        <v>3404411.3093920616</v>
      </c>
      <c r="F41" s="26">
        <f t="shared" si="14"/>
        <v>1.0904040853579759</v>
      </c>
      <c r="G41" s="27">
        <f t="shared" si="15"/>
        <v>1.0924635119615722E-3</v>
      </c>
      <c r="H41" s="24">
        <v>3948.16</v>
      </c>
      <c r="I41" s="27">
        <f t="shared" si="12"/>
        <v>3.105577085792488E-2</v>
      </c>
      <c r="J41" s="13">
        <f t="shared" si="4"/>
        <v>0.93480703664259923</v>
      </c>
      <c r="K41" s="13">
        <f t="shared" si="5"/>
        <v>0.74003208925010122</v>
      </c>
    </row>
    <row r="42" spans="1:11" x14ac:dyDescent="0.25">
      <c r="A42" s="4">
        <v>42221</v>
      </c>
      <c r="B42" s="23">
        <f>C42-SUM($D$3:D42)</f>
        <v>684117</v>
      </c>
      <c r="C42" s="24">
        <v>3742170</v>
      </c>
      <c r="D42" s="24">
        <v>0</v>
      </c>
      <c r="E42" s="25">
        <f t="shared" si="13"/>
        <v>3404411.3093920616</v>
      </c>
      <c r="F42" s="26">
        <f t="shared" si="14"/>
        <v>1.0992120692573581</v>
      </c>
      <c r="G42" s="27">
        <f t="shared" si="15"/>
        <v>8.0777245955481192E-3</v>
      </c>
      <c r="H42" s="24">
        <v>3866.9</v>
      </c>
      <c r="I42" s="27">
        <f t="shared" si="12"/>
        <v>-2.0581739341870575E-2</v>
      </c>
      <c r="J42" s="13">
        <f t="shared" si="4"/>
        <v>0.94235815043457849</v>
      </c>
      <c r="K42" s="13">
        <f t="shared" si="5"/>
        <v>0.72480094168453568</v>
      </c>
    </row>
    <row r="43" spans="1:11" x14ac:dyDescent="0.25">
      <c r="A43" s="4">
        <v>42222</v>
      </c>
      <c r="B43" s="23">
        <f>C43-SUM($D$3:D43)</f>
        <v>666117</v>
      </c>
      <c r="C43" s="24">
        <v>3724170</v>
      </c>
      <c r="D43" s="24">
        <v>0</v>
      </c>
      <c r="E43" s="25">
        <f t="shared" ref="E43:E48" si="16">E42+D43/F42</f>
        <v>3404411.3093920616</v>
      </c>
      <c r="F43" s="26">
        <f t="shared" ref="F43:F48" si="17">C43/E43</f>
        <v>1.0939248115307898</v>
      </c>
      <c r="G43" s="27">
        <f t="shared" si="15"/>
        <v>-4.8100433705576817E-3</v>
      </c>
      <c r="H43" s="24">
        <v>3831.85</v>
      </c>
      <c r="I43" s="27">
        <f t="shared" ref="I43:I48" si="18">H43/H42-1</f>
        <v>-9.0641082003672935E-3</v>
      </c>
      <c r="J43" s="13">
        <f t="shared" ref="J43:J48" si="19">F43/$F$3</f>
        <v>0.93782536686038964</v>
      </c>
      <c r="K43" s="13">
        <f t="shared" ref="K43:K48" si="20">H43/$H$3</f>
        <v>0.71823126752537902</v>
      </c>
    </row>
    <row r="44" spans="1:11" x14ac:dyDescent="0.25">
      <c r="A44" s="4">
        <v>42223</v>
      </c>
      <c r="B44" s="23">
        <f>C44-SUM($D$3:D44)</f>
        <v>666105</v>
      </c>
      <c r="C44" s="24">
        <v>3724158</v>
      </c>
      <c r="D44" s="24">
        <v>0</v>
      </c>
      <c r="E44" s="25">
        <f t="shared" si="16"/>
        <v>3404411.3093920616</v>
      </c>
      <c r="F44" s="26">
        <f t="shared" si="17"/>
        <v>1.0939212866923054</v>
      </c>
      <c r="G44" s="27">
        <f t="shared" si="15"/>
        <v>-3.2221944755717047E-6</v>
      </c>
      <c r="H44" s="24">
        <v>3906.95</v>
      </c>
      <c r="I44" s="27">
        <f t="shared" si="18"/>
        <v>1.9598888265459191E-2</v>
      </c>
      <c r="J44" s="13">
        <f t="shared" si="19"/>
        <v>0.93782234500467354</v>
      </c>
      <c r="K44" s="13">
        <f t="shared" si="20"/>
        <v>0.73230780188636801</v>
      </c>
    </row>
    <row r="45" spans="1:11" x14ac:dyDescent="0.25">
      <c r="A45" s="4">
        <v>42224</v>
      </c>
      <c r="B45" s="23">
        <f>C45-SUM($D$3:D45)</f>
        <v>666105</v>
      </c>
      <c r="C45" s="24">
        <v>3724158</v>
      </c>
      <c r="D45" s="24">
        <v>0</v>
      </c>
      <c r="E45" s="25">
        <f t="shared" si="16"/>
        <v>3404411.3093920616</v>
      </c>
      <c r="F45" s="26">
        <f t="shared" si="17"/>
        <v>1.0939212866923054</v>
      </c>
      <c r="G45" s="27">
        <f t="shared" si="15"/>
        <v>0</v>
      </c>
      <c r="H45" s="24">
        <v>3906.95</v>
      </c>
      <c r="I45" s="27">
        <f t="shared" si="18"/>
        <v>0</v>
      </c>
      <c r="J45" s="13">
        <f t="shared" si="19"/>
        <v>0.93782234500467354</v>
      </c>
      <c r="K45" s="13">
        <f t="shared" si="20"/>
        <v>0.73230780188636801</v>
      </c>
    </row>
    <row r="46" spans="1:11" x14ac:dyDescent="0.25">
      <c r="A46" s="4">
        <v>42225</v>
      </c>
      <c r="B46" s="23">
        <f>C46-SUM($D$3:D46)</f>
        <v>666105</v>
      </c>
      <c r="C46" s="24">
        <v>3724158</v>
      </c>
      <c r="D46" s="24">
        <v>0</v>
      </c>
      <c r="E46" s="25">
        <f t="shared" si="16"/>
        <v>3404411.3093920616</v>
      </c>
      <c r="F46" s="26">
        <f t="shared" si="17"/>
        <v>1.0939212866923054</v>
      </c>
      <c r="G46" s="27">
        <f t="shared" si="15"/>
        <v>0</v>
      </c>
      <c r="H46" s="24">
        <v>3906.95</v>
      </c>
      <c r="I46" s="27">
        <f t="shared" si="18"/>
        <v>0</v>
      </c>
      <c r="J46" s="13">
        <f t="shared" si="19"/>
        <v>0.93782234500467354</v>
      </c>
      <c r="K46" s="13">
        <f t="shared" si="20"/>
        <v>0.73230780188636801</v>
      </c>
    </row>
    <row r="47" spans="1:11" x14ac:dyDescent="0.25">
      <c r="A47" s="4">
        <v>42226</v>
      </c>
      <c r="B47" s="23">
        <f>C47-SUM($D$3:D47)</f>
        <v>669496</v>
      </c>
      <c r="C47" s="24">
        <v>3727549</v>
      </c>
      <c r="D47" s="24">
        <v>0</v>
      </c>
      <c r="E47" s="25">
        <f t="shared" si="16"/>
        <v>3404411.3093920616</v>
      </c>
      <c r="F47" s="26">
        <f t="shared" si="17"/>
        <v>1.0949173473006828</v>
      </c>
      <c r="G47" s="27">
        <f t="shared" si="15"/>
        <v>9.1054138948987173E-4</v>
      </c>
      <c r="H47" s="24">
        <v>4084.37</v>
      </c>
      <c r="I47" s="27">
        <f t="shared" si="18"/>
        <v>4.5411382280295287E-2</v>
      </c>
      <c r="J47" s="13">
        <f t="shared" si="19"/>
        <v>0.93867627106578877</v>
      </c>
      <c r="K47" s="13">
        <f t="shared" si="20"/>
        <v>0.7655629114246727</v>
      </c>
    </row>
    <row r="48" spans="1:11" x14ac:dyDescent="0.25">
      <c r="A48" s="4">
        <v>42227</v>
      </c>
      <c r="B48" s="23">
        <f>C48-SUM($D$3:D48)</f>
        <v>720125</v>
      </c>
      <c r="C48" s="24">
        <v>3888178</v>
      </c>
      <c r="D48" s="24">
        <v>110000</v>
      </c>
      <c r="E48" s="25">
        <f t="shared" si="16"/>
        <v>3504875.5136273718</v>
      </c>
      <c r="F48" s="26">
        <f t="shared" si="17"/>
        <v>1.1093626535043264</v>
      </c>
      <c r="G48" s="27">
        <f t="shared" si="15"/>
        <v>1.3193056297131411E-2</v>
      </c>
      <c r="H48" s="24">
        <v>4066.67</v>
      </c>
      <c r="I48" s="27">
        <f t="shared" si="18"/>
        <v>-4.3335936754015369E-3</v>
      </c>
      <c r="J48" s="13">
        <f t="shared" si="19"/>
        <v>0.95106027995474096</v>
      </c>
      <c r="K48" s="13">
        <f t="shared" si="20"/>
        <v>0.76224527283360077</v>
      </c>
    </row>
    <row r="49" spans="1:11" x14ac:dyDescent="0.25">
      <c r="A49" s="4">
        <v>42228</v>
      </c>
      <c r="B49" s="23">
        <f>C49-SUM($D$3:D49)</f>
        <v>711683</v>
      </c>
      <c r="C49" s="24">
        <v>3879736</v>
      </c>
      <c r="D49" s="24">
        <v>0</v>
      </c>
      <c r="E49" s="25">
        <f t="shared" ref="E49:E54" si="21">E48+D49/F48</f>
        <v>3504875.5136273718</v>
      </c>
      <c r="F49" s="26">
        <f t="shared" ref="F49:F54" si="22">C49/E49</f>
        <v>1.1069540087558392</v>
      </c>
      <c r="G49" s="27">
        <f t="shared" ref="G49:G55" si="23">F49/F48-1</f>
        <v>-2.1711968947923932E-3</v>
      </c>
      <c r="H49" s="24">
        <v>4016.13</v>
      </c>
      <c r="I49" s="27">
        <f t="shared" ref="I49:I55" si="24">H49/H48-1</f>
        <v>-1.2427858665689628E-2</v>
      </c>
      <c r="J49" s="13">
        <f t="shared" ref="J49:J54" si="25">F49/$F$3</f>
        <v>0.94899534082814285</v>
      </c>
      <c r="K49" s="13">
        <f t="shared" ref="K49:K54" si="26">H49/$H$3</f>
        <v>0.75277219631423475</v>
      </c>
    </row>
    <row r="50" spans="1:11" x14ac:dyDescent="0.25">
      <c r="A50" s="4">
        <v>42229</v>
      </c>
      <c r="B50" s="23">
        <f>C50-SUM($D$3:D50)</f>
        <v>700200</v>
      </c>
      <c r="C50" s="24">
        <v>4418253</v>
      </c>
      <c r="D50" s="24">
        <v>550000</v>
      </c>
      <c r="E50" s="25">
        <f t="shared" si="21"/>
        <v>4001734.4577655951</v>
      </c>
      <c r="F50" s="26">
        <f t="shared" si="22"/>
        <v>1.1040845030149682</v>
      </c>
      <c r="G50" s="27">
        <f t="shared" si="23"/>
        <v>-2.5922538047412624E-3</v>
      </c>
      <c r="H50" s="24">
        <v>4075.46</v>
      </c>
      <c r="I50" s="27">
        <f t="shared" si="24"/>
        <v>1.47729281671658E-2</v>
      </c>
      <c r="J50" s="13">
        <f t="shared" si="25"/>
        <v>0.94653530404519937</v>
      </c>
      <c r="K50" s="13">
        <f t="shared" si="26"/>
        <v>0.76389284589662465</v>
      </c>
    </row>
    <row r="51" spans="1:11" x14ac:dyDescent="0.25">
      <c r="A51" s="4">
        <v>42230</v>
      </c>
      <c r="B51" s="23">
        <f>C51-SUM($D$3:D51)</f>
        <v>709414</v>
      </c>
      <c r="C51" s="24">
        <v>4427467</v>
      </c>
      <c r="D51" s="24">
        <v>0</v>
      </c>
      <c r="E51" s="25">
        <f t="shared" si="21"/>
        <v>4001734.4577655951</v>
      </c>
      <c r="F51" s="26">
        <f t="shared" si="22"/>
        <v>1.1063870046170221</v>
      </c>
      <c r="G51" s="27">
        <f t="shared" si="23"/>
        <v>2.0854396522786978E-3</v>
      </c>
      <c r="H51" s="24">
        <v>4073.54</v>
      </c>
      <c r="I51" s="27">
        <f t="shared" si="24"/>
        <v>-4.7111246337838697E-4</v>
      </c>
      <c r="J51" s="13">
        <f t="shared" si="25"/>
        <v>0.94850924630053701</v>
      </c>
      <c r="K51" s="13">
        <f t="shared" si="26"/>
        <v>0.76353296645623714</v>
      </c>
    </row>
    <row r="52" spans="1:11" x14ac:dyDescent="0.25">
      <c r="A52" s="4">
        <v>42233</v>
      </c>
      <c r="B52" s="23">
        <f>C52-SUM($D$3:D52)</f>
        <v>711104</v>
      </c>
      <c r="C52" s="24">
        <v>4429157</v>
      </c>
      <c r="D52" s="24">
        <v>0</v>
      </c>
      <c r="E52" s="25">
        <f t="shared" si="21"/>
        <v>4001734.4577655951</v>
      </c>
      <c r="F52" s="26">
        <f t="shared" si="22"/>
        <v>1.1068093214943253</v>
      </c>
      <c r="G52" s="27">
        <f t="shared" si="23"/>
        <v>3.8170809629978208E-4</v>
      </c>
      <c r="H52" s="24">
        <v>4077.87</v>
      </c>
      <c r="I52" s="27">
        <f t="shared" si="24"/>
        <v>1.0629575258864765E-3</v>
      </c>
      <c r="J52" s="13">
        <f t="shared" si="25"/>
        <v>0.94887129995926511</v>
      </c>
      <c r="K52" s="13">
        <f t="shared" si="26"/>
        <v>0.76434456956919428</v>
      </c>
    </row>
    <row r="53" spans="1:11" x14ac:dyDescent="0.25">
      <c r="A53" s="4">
        <v>42234</v>
      </c>
      <c r="B53" s="23">
        <f>C53-SUM($D$3:D53)</f>
        <v>636067</v>
      </c>
      <c r="C53" s="24">
        <v>4354120</v>
      </c>
      <c r="D53" s="24">
        <v>0</v>
      </c>
      <c r="E53" s="25">
        <f t="shared" si="21"/>
        <v>4001734.4577655951</v>
      </c>
      <c r="F53" s="26">
        <f t="shared" si="22"/>
        <v>1.0880582022504219</v>
      </c>
      <c r="G53" s="27">
        <f t="shared" si="23"/>
        <v>-1.6941598593140816E-2</v>
      </c>
      <c r="H53" s="24">
        <v>3825.41</v>
      </c>
      <c r="I53" s="27">
        <f t="shared" si="24"/>
        <v>-6.1909771522878354E-2</v>
      </c>
      <c r="J53" s="13">
        <f t="shared" si="25"/>
        <v>0.93279590327880357</v>
      </c>
      <c r="K53" s="13">
        <f t="shared" si="26"/>
        <v>0.71702417190241263</v>
      </c>
    </row>
    <row r="54" spans="1:11" x14ac:dyDescent="0.25">
      <c r="A54" s="4">
        <v>42235</v>
      </c>
      <c r="B54" s="23">
        <f>C54-SUM($D$3:D54)</f>
        <v>520474</v>
      </c>
      <c r="C54" s="24">
        <v>4238527</v>
      </c>
      <c r="D54" s="24">
        <v>0</v>
      </c>
      <c r="E54" s="25">
        <f t="shared" si="21"/>
        <v>4001734.4577655951</v>
      </c>
      <c r="F54" s="26">
        <f t="shared" si="22"/>
        <v>1.0591724775178162</v>
      </c>
      <c r="G54" s="27">
        <f t="shared" si="23"/>
        <v>-2.6547959174299307E-2</v>
      </c>
      <c r="H54" s="24">
        <v>3886.14</v>
      </c>
      <c r="I54" s="27">
        <f t="shared" si="24"/>
        <v>1.587542250373164E-2</v>
      </c>
      <c r="J54" s="13">
        <f t="shared" si="25"/>
        <v>0.90803207572060418</v>
      </c>
      <c r="K54" s="13">
        <f t="shared" si="26"/>
        <v>0.72840723357675174</v>
      </c>
    </row>
    <row r="55" spans="1:11" x14ac:dyDescent="0.25">
      <c r="A55" s="4">
        <v>42236</v>
      </c>
      <c r="B55" s="23">
        <f>C55-SUM($D$3:D55)</f>
        <v>557076</v>
      </c>
      <c r="C55" s="24">
        <v>4275129</v>
      </c>
      <c r="D55" s="24">
        <v>0</v>
      </c>
      <c r="E55" s="25">
        <f t="shared" ref="E55:E60" si="27">E54+D55/F54</f>
        <v>4001734.4577655951</v>
      </c>
      <c r="F55" s="26">
        <f t="shared" ref="F55:F60" si="28">C55/E55</f>
        <v>1.068319011448615</v>
      </c>
      <c r="G55" s="27">
        <f t="shared" si="23"/>
        <v>8.6355472077916939E-3</v>
      </c>
      <c r="H55" s="24">
        <v>3761.45</v>
      </c>
      <c r="I55" s="27">
        <f t="shared" si="24"/>
        <v>-3.208582295027973E-2</v>
      </c>
      <c r="J55" s="13">
        <f t="shared" ref="J55:J60" si="29">F55/$F$3</f>
        <v>0.9158734295766785</v>
      </c>
      <c r="K55" s="13">
        <f t="shared" ref="K55:K60" si="30">H55/$H$3</f>
        <v>0.70503568804450512</v>
      </c>
    </row>
    <row r="56" spans="1:11" x14ac:dyDescent="0.25">
      <c r="A56" s="4">
        <v>42237</v>
      </c>
      <c r="B56" s="23">
        <f>C56-SUM($D$3:D56)</f>
        <v>554605</v>
      </c>
      <c r="C56" s="24">
        <v>4272658</v>
      </c>
      <c r="D56" s="24">
        <v>0</v>
      </c>
      <c r="E56" s="25">
        <f t="shared" si="27"/>
        <v>4001734.4577655951</v>
      </c>
      <c r="F56" s="26">
        <f t="shared" si="28"/>
        <v>1.0677015291978362</v>
      </c>
      <c r="G56" s="27">
        <f t="shared" ref="G56:G62" si="31">F56/F55-1</f>
        <v>-5.7799425467630616E-4</v>
      </c>
      <c r="H56" s="24">
        <v>3589.54</v>
      </c>
      <c r="I56" s="27">
        <f t="shared" ref="I56:I62" si="32">H56/H55-1</f>
        <v>-4.5703119807520953E-2</v>
      </c>
      <c r="J56" s="13">
        <f t="shared" si="29"/>
        <v>0.91534405999637258</v>
      </c>
      <c r="K56" s="13">
        <f t="shared" si="30"/>
        <v>0.67281335752522908</v>
      </c>
    </row>
    <row r="57" spans="1:11" x14ac:dyDescent="0.25">
      <c r="A57" s="4">
        <v>42238</v>
      </c>
      <c r="B57" s="23">
        <f>C57-SUM($D$3:D57)</f>
        <v>554605</v>
      </c>
      <c r="C57" s="24">
        <v>4272658</v>
      </c>
      <c r="D57" s="24">
        <v>0</v>
      </c>
      <c r="E57" s="25">
        <f t="shared" si="27"/>
        <v>4001734.4577655951</v>
      </c>
      <c r="F57" s="26">
        <f t="shared" si="28"/>
        <v>1.0677015291978362</v>
      </c>
      <c r="G57" s="27">
        <f t="shared" si="31"/>
        <v>0</v>
      </c>
      <c r="H57" s="24">
        <v>3589.54</v>
      </c>
      <c r="I57" s="27">
        <f t="shared" si="32"/>
        <v>0</v>
      </c>
      <c r="J57" s="13">
        <f t="shared" si="29"/>
        <v>0.91534405999637258</v>
      </c>
      <c r="K57" s="13">
        <f t="shared" si="30"/>
        <v>0.67281335752522908</v>
      </c>
    </row>
    <row r="58" spans="1:11" x14ac:dyDescent="0.25">
      <c r="A58" s="4">
        <v>42239</v>
      </c>
      <c r="B58" s="23">
        <f>C58-SUM($D$3:D58)</f>
        <v>554605</v>
      </c>
      <c r="C58" s="24">
        <v>4272658</v>
      </c>
      <c r="D58" s="24">
        <v>0</v>
      </c>
      <c r="E58" s="25">
        <f t="shared" si="27"/>
        <v>4001734.4577655951</v>
      </c>
      <c r="F58" s="26">
        <f t="shared" si="28"/>
        <v>1.0677015291978362</v>
      </c>
      <c r="G58" s="27">
        <f t="shared" si="31"/>
        <v>0</v>
      </c>
      <c r="H58" s="24">
        <v>3589.54</v>
      </c>
      <c r="I58" s="27">
        <f t="shared" si="32"/>
        <v>0</v>
      </c>
      <c r="J58" s="13">
        <f t="shared" si="29"/>
        <v>0.91534405999637258</v>
      </c>
      <c r="K58" s="13">
        <f t="shared" si="30"/>
        <v>0.67281335752522908</v>
      </c>
    </row>
    <row r="59" spans="1:11" x14ac:dyDescent="0.25">
      <c r="A59" s="4">
        <v>42240</v>
      </c>
      <c r="B59" s="23">
        <f>C59-SUM($D$3:D59)</f>
        <v>481947</v>
      </c>
      <c r="C59" s="24">
        <v>4200000</v>
      </c>
      <c r="D59" s="24">
        <v>0</v>
      </c>
      <c r="E59" s="25">
        <f t="shared" si="27"/>
        <v>4001734.4577655951</v>
      </c>
      <c r="F59" s="26">
        <f t="shared" si="28"/>
        <v>1.049544902173521</v>
      </c>
      <c r="G59" s="27">
        <f t="shared" si="31"/>
        <v>-1.7005339533377128E-2</v>
      </c>
      <c r="H59" s="24">
        <v>3275.53</v>
      </c>
      <c r="I59" s="27">
        <f t="shared" si="32"/>
        <v>-8.7479175604673554E-2</v>
      </c>
      <c r="J59" s="13">
        <f t="shared" si="29"/>
        <v>0.89977832346627429</v>
      </c>
      <c r="K59" s="13">
        <f t="shared" si="30"/>
        <v>0.61395619967310955</v>
      </c>
    </row>
    <row r="60" spans="1:11" x14ac:dyDescent="0.25">
      <c r="A60" s="4">
        <v>42241</v>
      </c>
      <c r="B60" s="23">
        <f>C60-SUM($D$3:D60)</f>
        <v>434665</v>
      </c>
      <c r="C60" s="24">
        <v>4152718</v>
      </c>
      <c r="D60" s="24">
        <v>0</v>
      </c>
      <c r="E60" s="25">
        <f t="shared" si="27"/>
        <v>4001734.4577655951</v>
      </c>
      <c r="F60" s="26">
        <f t="shared" si="28"/>
        <v>1.0377295254914809</v>
      </c>
      <c r="G60" s="27">
        <f t="shared" si="31"/>
        <v>-1.1257619047619127E-2</v>
      </c>
      <c r="H60" s="24">
        <v>3042.93</v>
      </c>
      <c r="I60" s="27">
        <f t="shared" si="32"/>
        <v>-7.101140884070678E-2</v>
      </c>
      <c r="J60" s="13">
        <f t="shared" si="29"/>
        <v>0.8896489618733856</v>
      </c>
      <c r="K60" s="13">
        <f t="shared" si="30"/>
        <v>0.57035830496783579</v>
      </c>
    </row>
    <row r="61" spans="1:11" x14ac:dyDescent="0.25">
      <c r="A61" s="4">
        <v>42242</v>
      </c>
      <c r="B61" s="23">
        <f>C61-SUM($D$3:D61)</f>
        <v>492378</v>
      </c>
      <c r="C61" s="24">
        <v>4210431</v>
      </c>
      <c r="D61" s="24">
        <v>0</v>
      </c>
      <c r="E61" s="25">
        <f t="shared" ref="E61:E66" si="33">E60+D61/F60</f>
        <v>4001734.4577655951</v>
      </c>
      <c r="F61" s="26">
        <f t="shared" ref="F61:F66" si="34">C61/E61</f>
        <v>1.0521515219055622</v>
      </c>
      <c r="G61" s="27">
        <f t="shared" si="31"/>
        <v>1.3897644867771231E-2</v>
      </c>
      <c r="H61" s="24">
        <v>3025.69</v>
      </c>
      <c r="I61" s="27">
        <f t="shared" si="32"/>
        <v>-5.6655920445096708E-3</v>
      </c>
      <c r="J61" s="13">
        <f t="shared" ref="J61:J66" si="35">F61/$F$3</f>
        <v>0.90201298720248324</v>
      </c>
      <c r="K61" s="13">
        <f t="shared" ref="K61:K66" si="36">H61/$H$3</f>
        <v>0.56712688749269002</v>
      </c>
    </row>
    <row r="62" spans="1:11" x14ac:dyDescent="0.25">
      <c r="A62" s="4">
        <v>42243</v>
      </c>
      <c r="B62" s="23">
        <f>C62-SUM($D$3:D62)</f>
        <v>531966</v>
      </c>
      <c r="C62" s="24">
        <v>4250019</v>
      </c>
      <c r="D62" s="24">
        <v>0</v>
      </c>
      <c r="E62" s="25">
        <f t="shared" si="33"/>
        <v>4001734.4577655951</v>
      </c>
      <c r="F62" s="26">
        <f t="shared" si="34"/>
        <v>1.0620442322834776</v>
      </c>
      <c r="G62" s="27">
        <f t="shared" si="31"/>
        <v>9.402362845988721E-3</v>
      </c>
      <c r="H62" s="24">
        <v>3205.64</v>
      </c>
      <c r="I62" s="27">
        <f t="shared" si="32"/>
        <v>5.9474037327022833E-2</v>
      </c>
      <c r="J62" s="13">
        <f t="shared" si="35"/>
        <v>0.9104940405999552</v>
      </c>
      <c r="K62" s="13">
        <f t="shared" si="36"/>
        <v>0.6008562131685885</v>
      </c>
    </row>
    <row r="63" spans="1:11" x14ac:dyDescent="0.25">
      <c r="A63" s="4">
        <v>42244</v>
      </c>
      <c r="B63" s="23">
        <f>C63-SUM($D$3:D63)</f>
        <v>572772</v>
      </c>
      <c r="C63" s="24">
        <v>4290825</v>
      </c>
      <c r="D63" s="24">
        <v>0</v>
      </c>
      <c r="E63" s="25">
        <f t="shared" si="33"/>
        <v>4001734.4577655951</v>
      </c>
      <c r="F63" s="26">
        <f t="shared" si="34"/>
        <v>1.0722413106830235</v>
      </c>
      <c r="G63" s="27">
        <f t="shared" ref="G63:G68" si="37">F63/F62-1</f>
        <v>9.6013688409393172E-3</v>
      </c>
      <c r="H63" s="24">
        <v>3342.29</v>
      </c>
      <c r="I63" s="27">
        <f t="shared" ref="I63:I68" si="38">H63/H62-1</f>
        <v>4.2627993162051903E-2</v>
      </c>
      <c r="J63" s="13">
        <f t="shared" si="35"/>
        <v>0.91923602971123253</v>
      </c>
      <c r="K63" s="13">
        <f t="shared" si="36"/>
        <v>0.6264695077149155</v>
      </c>
    </row>
    <row r="64" spans="1:11" x14ac:dyDescent="0.25">
      <c r="A64" s="4">
        <v>42245</v>
      </c>
      <c r="B64" s="23">
        <f>C64-SUM($D$3:D64)</f>
        <v>572772</v>
      </c>
      <c r="C64" s="24">
        <v>4290825</v>
      </c>
      <c r="D64" s="24">
        <v>0</v>
      </c>
      <c r="E64" s="25">
        <f t="shared" si="33"/>
        <v>4001734.4577655951</v>
      </c>
      <c r="F64" s="26">
        <f t="shared" si="34"/>
        <v>1.0722413106830235</v>
      </c>
      <c r="G64" s="27">
        <f t="shared" si="37"/>
        <v>0</v>
      </c>
      <c r="H64" s="24">
        <v>3342.29</v>
      </c>
      <c r="I64" s="27">
        <f t="shared" si="38"/>
        <v>0</v>
      </c>
      <c r="J64" s="13">
        <f t="shared" si="35"/>
        <v>0.91923602971123253</v>
      </c>
      <c r="K64" s="13">
        <f t="shared" si="36"/>
        <v>0.6264695077149155</v>
      </c>
    </row>
    <row r="65" spans="1:11" x14ac:dyDescent="0.25">
      <c r="A65" s="4">
        <v>42246</v>
      </c>
      <c r="B65" s="23">
        <f>C65-SUM($D$3:D65)</f>
        <v>572772</v>
      </c>
      <c r="C65" s="24">
        <v>4290825</v>
      </c>
      <c r="D65" s="24">
        <v>0</v>
      </c>
      <c r="E65" s="25">
        <f t="shared" si="33"/>
        <v>4001734.4577655951</v>
      </c>
      <c r="F65" s="26">
        <f t="shared" si="34"/>
        <v>1.0722413106830235</v>
      </c>
      <c r="G65" s="27">
        <f t="shared" si="37"/>
        <v>0</v>
      </c>
      <c r="H65" s="24">
        <v>3342.29</v>
      </c>
      <c r="I65" s="27">
        <f t="shared" si="38"/>
        <v>0</v>
      </c>
      <c r="J65" s="13">
        <f t="shared" si="35"/>
        <v>0.91923602971123253</v>
      </c>
      <c r="K65" s="13">
        <f t="shared" si="36"/>
        <v>0.6264695077149155</v>
      </c>
    </row>
    <row r="66" spans="1:11" x14ac:dyDescent="0.25">
      <c r="A66" s="4">
        <v>42247</v>
      </c>
      <c r="B66" s="23">
        <f>C66-SUM($D$3:D66)</f>
        <v>649907</v>
      </c>
      <c r="C66" s="24">
        <v>4367960</v>
      </c>
      <c r="D66" s="24">
        <v>0</v>
      </c>
      <c r="E66" s="25">
        <f t="shared" si="33"/>
        <v>4001734.4577655951</v>
      </c>
      <c r="F66" s="26">
        <f t="shared" si="34"/>
        <v>1.091516702594727</v>
      </c>
      <c r="G66" s="27">
        <f t="shared" si="37"/>
        <v>1.7976729416837145E-2</v>
      </c>
      <c r="H66" s="24">
        <v>3366.54</v>
      </c>
      <c r="I66" s="27">
        <f t="shared" si="38"/>
        <v>7.2555044595172813E-3</v>
      </c>
      <c r="J66" s="13">
        <f t="shared" si="35"/>
        <v>0.935760887087559</v>
      </c>
      <c r="K66" s="13">
        <f t="shared" si="36"/>
        <v>0.63101486002189267</v>
      </c>
    </row>
    <row r="67" spans="1:11" x14ac:dyDescent="0.25">
      <c r="A67" s="4">
        <v>42248</v>
      </c>
      <c r="B67" s="23">
        <f>C67-SUM($D$3:D67)</f>
        <v>619505</v>
      </c>
      <c r="C67" s="24">
        <v>4337558</v>
      </c>
      <c r="D67" s="24">
        <v>0</v>
      </c>
      <c r="E67" s="25">
        <f t="shared" ref="E67:E78" si="39">E66+D67/F66</f>
        <v>4001734.4577655951</v>
      </c>
      <c r="F67" s="26">
        <f t="shared" ref="F67:F72" si="40">C67/E67</f>
        <v>1.0839194968528509</v>
      </c>
      <c r="G67" s="27">
        <f t="shared" si="37"/>
        <v>-6.9602285735217428E-3</v>
      </c>
      <c r="H67" s="24">
        <v>3362.08</v>
      </c>
      <c r="I67" s="27">
        <f t="shared" si="38"/>
        <v>-1.3248023192952152E-3</v>
      </c>
      <c r="J67" s="13">
        <f t="shared" ref="J67:J72" si="41">F67/$F$3</f>
        <v>0.92924777742326814</v>
      </c>
      <c r="K67" s="13">
        <f t="shared" ref="K67:K72" si="42">H67/$H$3</f>
        <v>0.63017889007182593</v>
      </c>
    </row>
    <row r="68" spans="1:11" x14ac:dyDescent="0.25">
      <c r="A68" s="4">
        <v>42249</v>
      </c>
      <c r="B68" s="23">
        <f>C68-SUM($D$3:D68)</f>
        <v>662263</v>
      </c>
      <c r="C68" s="24">
        <v>4380316</v>
      </c>
      <c r="D68" s="24">
        <v>0</v>
      </c>
      <c r="E68" s="25">
        <f t="shared" si="39"/>
        <v>4001734.4577655951</v>
      </c>
      <c r="F68" s="26">
        <f t="shared" si="40"/>
        <v>1.094604363740264</v>
      </c>
      <c r="G68" s="27">
        <f t="shared" si="37"/>
        <v>9.8576203476701263E-3</v>
      </c>
      <c r="H68" s="24">
        <v>3365.83</v>
      </c>
      <c r="I68" s="27">
        <f t="shared" si="38"/>
        <v>1.1153809546471383E-3</v>
      </c>
      <c r="J68" s="13">
        <f t="shared" si="41"/>
        <v>0.93840794922202309</v>
      </c>
      <c r="K68" s="13">
        <f t="shared" si="42"/>
        <v>0.63088177960383274</v>
      </c>
    </row>
    <row r="69" spans="1:11" x14ac:dyDescent="0.25">
      <c r="A69" s="4">
        <v>42254</v>
      </c>
      <c r="B69" s="23">
        <f>C69-SUM($D$3:D69)</f>
        <v>632779</v>
      </c>
      <c r="C69" s="24">
        <v>4350832</v>
      </c>
      <c r="D69" s="24">
        <v>0</v>
      </c>
      <c r="E69" s="25">
        <f t="shared" si="39"/>
        <v>4001734.4577655951</v>
      </c>
      <c r="F69" s="26">
        <f t="shared" si="40"/>
        <v>1.0872365585270061</v>
      </c>
      <c r="G69" s="27">
        <f t="shared" ref="G69:G75" si="43">F69/F68-1</f>
        <v>-6.7310212322579943E-3</v>
      </c>
      <c r="H69" s="24">
        <v>3250.49</v>
      </c>
      <c r="I69" s="27">
        <f t="shared" ref="I69:I75" si="44">H69/H68-1</f>
        <v>-3.4267922028147657E-2</v>
      </c>
      <c r="J69" s="13">
        <f t="shared" si="41"/>
        <v>0.93209150539128993</v>
      </c>
      <c r="K69" s="13">
        <f t="shared" si="42"/>
        <v>0.60926277197138956</v>
      </c>
    </row>
    <row r="70" spans="1:11" x14ac:dyDescent="0.25">
      <c r="A70" s="4">
        <v>42255</v>
      </c>
      <c r="B70" s="23">
        <f>C70-SUM($D$3:D70)</f>
        <v>621167</v>
      </c>
      <c r="C70" s="28">
        <v>4339220</v>
      </c>
      <c r="D70" s="24">
        <v>0</v>
      </c>
      <c r="E70" s="25">
        <f t="shared" si="39"/>
        <v>4001734.4577655951</v>
      </c>
      <c r="F70" s="26">
        <f t="shared" si="40"/>
        <v>1.0843348167641396</v>
      </c>
      <c r="G70" s="27">
        <f t="shared" si="43"/>
        <v>-2.6689148190507384E-3</v>
      </c>
      <c r="H70" s="24">
        <v>3334.02</v>
      </c>
      <c r="I70" s="27">
        <f t="shared" si="44"/>
        <v>2.5697664044497914E-2</v>
      </c>
      <c r="J70" s="13">
        <f t="shared" si="41"/>
        <v>0.9296038325598398</v>
      </c>
      <c r="K70" s="13">
        <f t="shared" si="42"/>
        <v>0.62491940200032992</v>
      </c>
    </row>
    <row r="71" spans="1:11" x14ac:dyDescent="0.25">
      <c r="A71" s="4">
        <v>42256</v>
      </c>
      <c r="B71" s="23">
        <f>C71-SUM($D$3:D71)</f>
        <v>617551</v>
      </c>
      <c r="C71" s="28">
        <v>4335604</v>
      </c>
      <c r="D71" s="24">
        <v>0</v>
      </c>
      <c r="E71" s="25">
        <f t="shared" si="39"/>
        <v>4001734.4577655951</v>
      </c>
      <c r="F71" s="26">
        <f t="shared" si="40"/>
        <v>1.0834312085816968</v>
      </c>
      <c r="G71" s="27">
        <f t="shared" si="43"/>
        <v>-8.3332949239722787E-4</v>
      </c>
      <c r="H71" s="24">
        <v>3399.31</v>
      </c>
      <c r="I71" s="27">
        <f t="shared" si="44"/>
        <v>1.9582965909022754E-2</v>
      </c>
      <c r="J71" s="13">
        <f t="shared" si="41"/>
        <v>0.92882916626992218</v>
      </c>
      <c r="K71" s="13">
        <f t="shared" si="42"/>
        <v>0.63715717734558919</v>
      </c>
    </row>
    <row r="72" spans="1:11" x14ac:dyDescent="0.25">
      <c r="A72" s="4">
        <v>42257</v>
      </c>
      <c r="B72" s="23">
        <f>C72-SUM($D$3:D72)</f>
        <v>615926</v>
      </c>
      <c r="C72" s="28">
        <v>4333979</v>
      </c>
      <c r="D72" s="24">
        <v>0</v>
      </c>
      <c r="E72" s="25">
        <f t="shared" si="39"/>
        <v>4001734.4577655951</v>
      </c>
      <c r="F72" s="26">
        <f t="shared" si="40"/>
        <v>1.083025134661213</v>
      </c>
      <c r="G72" s="27">
        <f t="shared" si="43"/>
        <v>-3.7480360291208825E-4</v>
      </c>
      <c r="H72" s="24">
        <v>3357.56</v>
      </c>
      <c r="I72" s="27">
        <f t="shared" si="44"/>
        <v>-1.2281904268807486E-2</v>
      </c>
      <c r="J72" s="13">
        <f t="shared" si="41"/>
        <v>0.92848103775191426</v>
      </c>
      <c r="K72" s="13">
        <f t="shared" si="42"/>
        <v>0.62933167388924716</v>
      </c>
    </row>
    <row r="73" spans="1:11" x14ac:dyDescent="0.25">
      <c r="A73" s="4">
        <v>42258</v>
      </c>
      <c r="B73" s="23">
        <f>C73-SUM($D$3:D73)</f>
        <v>611699</v>
      </c>
      <c r="C73" s="28">
        <v>4329752</v>
      </c>
      <c r="D73" s="24">
        <v>0</v>
      </c>
      <c r="E73" s="25">
        <f t="shared" si="39"/>
        <v>4001734.4577655951</v>
      </c>
      <c r="F73" s="26">
        <f t="shared" ref="F73:F78" si="45">C73/E73</f>
        <v>1.0819688426846685</v>
      </c>
      <c r="G73" s="27">
        <f t="shared" si="43"/>
        <v>-9.7531621634516785E-4</v>
      </c>
      <c r="H73" s="24">
        <v>3347.19</v>
      </c>
      <c r="I73" s="27">
        <f t="shared" si="44"/>
        <v>-3.08855240114847E-3</v>
      </c>
      <c r="J73" s="13">
        <f t="shared" ref="J73:J78" si="46">F73/$F$3</f>
        <v>0.92757547513922589</v>
      </c>
      <c r="K73" s="13">
        <f t="shared" ref="K73:K78" si="47">H73/$H$3</f>
        <v>0.62738795003673775</v>
      </c>
    </row>
    <row r="74" spans="1:11" x14ac:dyDescent="0.25">
      <c r="A74" s="4">
        <v>42261</v>
      </c>
      <c r="B74" s="23">
        <f>C74-SUM($D$3:D74)</f>
        <v>691354</v>
      </c>
      <c r="C74" s="28">
        <v>4409407</v>
      </c>
      <c r="D74" s="24">
        <v>0</v>
      </c>
      <c r="E74" s="25">
        <f t="shared" si="39"/>
        <v>4001734.4577655951</v>
      </c>
      <c r="F74" s="26">
        <f t="shared" si="45"/>
        <v>1.101873961537676</v>
      </c>
      <c r="G74" s="27">
        <f t="shared" si="43"/>
        <v>1.8397127595298768E-2</v>
      </c>
      <c r="H74" s="24">
        <v>3281.13</v>
      </c>
      <c r="I74" s="27">
        <f t="shared" si="44"/>
        <v>-1.9735957624156364E-2</v>
      </c>
      <c r="J74" s="13">
        <f t="shared" si="46"/>
        <v>0.94464019950963207</v>
      </c>
      <c r="K74" s="13">
        <f t="shared" si="47"/>
        <v>0.6150058480409063</v>
      </c>
    </row>
    <row r="75" spans="1:11" x14ac:dyDescent="0.25">
      <c r="A75" s="4">
        <v>42262</v>
      </c>
      <c r="B75" s="23">
        <f>C75-SUM($D$3:D75)</f>
        <v>650679</v>
      </c>
      <c r="C75" s="28">
        <v>4368732</v>
      </c>
      <c r="D75" s="24">
        <v>0</v>
      </c>
      <c r="E75" s="25">
        <f t="shared" si="39"/>
        <v>4001734.4577655951</v>
      </c>
      <c r="F75" s="26">
        <f t="shared" si="45"/>
        <v>1.0917096189434121</v>
      </c>
      <c r="G75" s="27">
        <f t="shared" si="43"/>
        <v>-9.2245964139849868E-3</v>
      </c>
      <c r="H75" s="24">
        <v>3152.23</v>
      </c>
      <c r="I75" s="27">
        <f t="shared" si="44"/>
        <v>-3.9285246241386407E-2</v>
      </c>
      <c r="J75" s="13">
        <f t="shared" si="46"/>
        <v>0.93592627491272939</v>
      </c>
      <c r="K75" s="13">
        <f t="shared" si="47"/>
        <v>0.5908451918607267</v>
      </c>
    </row>
    <row r="76" spans="1:11" x14ac:dyDescent="0.25">
      <c r="A76" s="4">
        <v>42263</v>
      </c>
      <c r="B76" s="23">
        <f>C76-SUM($D$3:D76)</f>
        <v>660015</v>
      </c>
      <c r="C76" s="28">
        <v>4378068</v>
      </c>
      <c r="D76" s="24">
        <v>0</v>
      </c>
      <c r="E76" s="25">
        <f t="shared" si="39"/>
        <v>4001734.4577655951</v>
      </c>
      <c r="F76" s="26">
        <f t="shared" si="45"/>
        <v>1.0940426073259579</v>
      </c>
      <c r="G76" s="27">
        <f t="shared" ref="G76:G82" si="48">F76/F75-1</f>
        <v>2.1370045129800452E-3</v>
      </c>
      <c r="H76" s="24">
        <v>3309.25</v>
      </c>
      <c r="I76" s="27">
        <f t="shared" ref="I76:I82" si="49">H76/H75-1</f>
        <v>4.9812355062923697E-2</v>
      </c>
      <c r="J76" s="13">
        <f t="shared" si="46"/>
        <v>0.93792635358603449</v>
      </c>
      <c r="K76" s="13">
        <f t="shared" si="47"/>
        <v>0.62027658234491445</v>
      </c>
    </row>
    <row r="77" spans="1:11" x14ac:dyDescent="0.25">
      <c r="A77" s="4">
        <v>42264</v>
      </c>
      <c r="B77" s="23">
        <f>C77-SUM($D$3:D77)</f>
        <v>619596</v>
      </c>
      <c r="C77" s="28">
        <v>4337649</v>
      </c>
      <c r="D77" s="24">
        <v>0</v>
      </c>
      <c r="E77" s="25">
        <f t="shared" si="39"/>
        <v>4001734.4577655951</v>
      </c>
      <c r="F77" s="26">
        <f t="shared" si="45"/>
        <v>1.0839422369923981</v>
      </c>
      <c r="G77" s="27">
        <f t="shared" si="48"/>
        <v>-9.2321544571714043E-3</v>
      </c>
      <c r="H77" s="24">
        <v>3237</v>
      </c>
      <c r="I77" s="27">
        <f t="shared" si="49"/>
        <v>-2.1832741557754831E-2</v>
      </c>
      <c r="J77" s="13">
        <f t="shared" si="46"/>
        <v>0.92926727262027664</v>
      </c>
      <c r="K77" s="13">
        <f t="shared" si="47"/>
        <v>0.6067342440282506</v>
      </c>
    </row>
    <row r="78" spans="1:11" x14ac:dyDescent="0.25">
      <c r="A78" s="4">
        <v>42265</v>
      </c>
      <c r="B78" s="23">
        <f>C78-SUM($D$3:D78)</f>
        <v>475884</v>
      </c>
      <c r="C78" s="28">
        <v>4193937</v>
      </c>
      <c r="D78" s="24">
        <v>0</v>
      </c>
      <c r="E78" s="25">
        <f t="shared" si="39"/>
        <v>4001734.4577655951</v>
      </c>
      <c r="F78" s="26">
        <f t="shared" si="45"/>
        <v>1.0480298091397406</v>
      </c>
      <c r="G78" s="27">
        <f t="shared" si="48"/>
        <v>-3.3131311454661305E-2</v>
      </c>
      <c r="H78" s="24">
        <v>3251.27</v>
      </c>
      <c r="I78" s="27">
        <f t="shared" si="49"/>
        <v>4.4084028421378374E-3</v>
      </c>
      <c r="J78" s="13">
        <f t="shared" si="46"/>
        <v>0.89847942918647061</v>
      </c>
      <c r="K78" s="13">
        <f t="shared" si="47"/>
        <v>0.60940897299404695</v>
      </c>
    </row>
    <row r="79" spans="1:11" x14ac:dyDescent="0.25">
      <c r="A79" s="4">
        <v>42268</v>
      </c>
      <c r="B79" s="23">
        <f>C79-SUM($D$3:D79)</f>
        <v>419759</v>
      </c>
      <c r="C79" s="28">
        <v>4137812</v>
      </c>
      <c r="D79" s="24">
        <v>0</v>
      </c>
      <c r="E79" s="25">
        <f t="shared" ref="E79:E84" si="50">E78+D79/F78</f>
        <v>4001734.4577655951</v>
      </c>
      <c r="F79" s="26">
        <f t="shared" ref="F79:F84" si="51">C79/E79</f>
        <v>1.0340046406553385</v>
      </c>
      <c r="G79" s="27">
        <f t="shared" si="48"/>
        <v>-1.3382413708169727E-2</v>
      </c>
      <c r="H79" s="24">
        <v>3308.25</v>
      </c>
      <c r="I79" s="27">
        <f t="shared" si="49"/>
        <v>1.7525459282065059E-2</v>
      </c>
      <c r="J79" s="13">
        <f t="shared" ref="J79:J84" si="52">F79/$F$3</f>
        <v>0.88645560575681703</v>
      </c>
      <c r="K79" s="13">
        <f t="shared" ref="K79:K84" si="53">H79/$H$3</f>
        <v>0.62008914513637936</v>
      </c>
    </row>
    <row r="80" spans="1:11" x14ac:dyDescent="0.25">
      <c r="A80" s="4">
        <v>42269</v>
      </c>
      <c r="B80" s="23">
        <f>C80-SUM($D$3:D80)</f>
        <v>469035</v>
      </c>
      <c r="C80" s="28">
        <v>4187088</v>
      </c>
      <c r="D80" s="24">
        <v>0</v>
      </c>
      <c r="E80" s="25">
        <f t="shared" si="50"/>
        <v>4001734.4577655951</v>
      </c>
      <c r="F80" s="26">
        <f t="shared" si="51"/>
        <v>1.0463183012742676</v>
      </c>
      <c r="G80" s="27">
        <f t="shared" si="48"/>
        <v>1.1908709240535886E-2</v>
      </c>
      <c r="H80" s="24">
        <v>3339.03</v>
      </c>
      <c r="I80" s="27">
        <f t="shared" si="49"/>
        <v>9.3040126955339364E-3</v>
      </c>
      <c r="J80" s="13">
        <f t="shared" si="52"/>
        <v>0.89701214782041805</v>
      </c>
      <c r="K80" s="13">
        <f t="shared" si="53"/>
        <v>0.62585846241509102</v>
      </c>
    </row>
    <row r="81" spans="1:11" x14ac:dyDescent="0.25">
      <c r="A81" s="4">
        <v>42270</v>
      </c>
      <c r="B81" s="23">
        <f>C81-SUM($D$3:D81)</f>
        <v>548410</v>
      </c>
      <c r="C81" s="28">
        <v>4266463</v>
      </c>
      <c r="D81" s="24">
        <v>0</v>
      </c>
      <c r="E81" s="25">
        <f t="shared" si="50"/>
        <v>4001734.4577655951</v>
      </c>
      <c r="F81" s="26">
        <f t="shared" si="51"/>
        <v>1.0661534504671304</v>
      </c>
      <c r="G81" s="27">
        <f t="shared" si="48"/>
        <v>1.8957089031804486E-2</v>
      </c>
      <c r="H81" s="24">
        <v>3263.03</v>
      </c>
      <c r="I81" s="27">
        <f t="shared" si="49"/>
        <v>-2.2761101277916085E-2</v>
      </c>
      <c r="J81" s="13">
        <f t="shared" si="52"/>
        <v>0.91401688696925987</v>
      </c>
      <c r="K81" s="13">
        <f t="shared" si="53"/>
        <v>0.61161323456642025</v>
      </c>
    </row>
    <row r="82" spans="1:11" x14ac:dyDescent="0.25">
      <c r="A82" s="4">
        <v>42271</v>
      </c>
      <c r="B82" s="23">
        <f>C82-SUM($D$3:D82)</f>
        <v>578370</v>
      </c>
      <c r="C82" s="28">
        <v>4296423</v>
      </c>
      <c r="D82" s="24">
        <v>0</v>
      </c>
      <c r="E82" s="25">
        <f t="shared" si="50"/>
        <v>4001734.4577655951</v>
      </c>
      <c r="F82" s="26">
        <f t="shared" si="51"/>
        <v>1.0736402041026347</v>
      </c>
      <c r="G82" s="27">
        <f t="shared" si="48"/>
        <v>7.0222102008148379E-3</v>
      </c>
      <c r="H82" s="24">
        <v>3285</v>
      </c>
      <c r="I82" s="27">
        <f t="shared" si="49"/>
        <v>6.7330058258734393E-3</v>
      </c>
      <c r="J82" s="13">
        <f t="shared" si="52"/>
        <v>0.92043530567665255</v>
      </c>
      <c r="K82" s="13">
        <f t="shared" si="53"/>
        <v>0.61573123003793728</v>
      </c>
    </row>
    <row r="83" spans="1:11" x14ac:dyDescent="0.25">
      <c r="A83" s="4">
        <v>42272</v>
      </c>
      <c r="B83" s="23">
        <f>C83-SUM($D$3:D83)</f>
        <v>567091</v>
      </c>
      <c r="C83" s="28">
        <v>4285144</v>
      </c>
      <c r="D83" s="24">
        <v>0</v>
      </c>
      <c r="E83" s="25">
        <f t="shared" si="50"/>
        <v>4001734.4577655951</v>
      </c>
      <c r="F83" s="26">
        <f t="shared" si="51"/>
        <v>1.0708216762570122</v>
      </c>
      <c r="G83" s="27">
        <f t="shared" ref="G83:G88" si="54">F83/F82-1</f>
        <v>-2.6252070617812651E-3</v>
      </c>
      <c r="H83" s="24">
        <v>3231.95</v>
      </c>
      <c r="I83" s="27">
        <f t="shared" ref="I83:I88" si="55">H83/H82-1</f>
        <v>-1.6149162861491706E-2</v>
      </c>
      <c r="J83" s="13">
        <f t="shared" si="52"/>
        <v>0.91801897241227737</v>
      </c>
      <c r="K83" s="13">
        <f t="shared" si="53"/>
        <v>0.60578768612514811</v>
      </c>
    </row>
    <row r="84" spans="1:11" x14ac:dyDescent="0.25">
      <c r="A84" s="4">
        <v>42275</v>
      </c>
      <c r="B84" s="23">
        <f>C84-SUM($D$3:D84)</f>
        <v>576035</v>
      </c>
      <c r="C84" s="28">
        <v>4294088</v>
      </c>
      <c r="D84" s="24">
        <v>0</v>
      </c>
      <c r="E84" s="25">
        <f t="shared" si="50"/>
        <v>4001734.4577655951</v>
      </c>
      <c r="F84" s="26">
        <f t="shared" si="51"/>
        <v>1.0730567071153549</v>
      </c>
      <c r="G84" s="27">
        <f t="shared" si="54"/>
        <v>2.0872110715530745E-3</v>
      </c>
      <c r="H84" s="24">
        <v>3242.75</v>
      </c>
      <c r="I84" s="27">
        <f t="shared" si="55"/>
        <v>3.3416358545150793E-3</v>
      </c>
      <c r="J84" s="13">
        <f t="shared" si="52"/>
        <v>0.91993507177539213</v>
      </c>
      <c r="K84" s="13">
        <f t="shared" si="53"/>
        <v>0.6078120079773276</v>
      </c>
    </row>
    <row r="85" spans="1:11" x14ac:dyDescent="0.25">
      <c r="A85" s="4">
        <v>42276</v>
      </c>
      <c r="B85" s="23">
        <f>C85-SUM($D$3:D85)</f>
        <v>557498</v>
      </c>
      <c r="C85" s="28">
        <v>4275551</v>
      </c>
      <c r="D85" s="24">
        <v>0</v>
      </c>
      <c r="E85" s="25">
        <f t="shared" ref="E85:E90" si="56">E84+D85/F84</f>
        <v>4001734.4577655951</v>
      </c>
      <c r="F85" s="26">
        <f t="shared" ref="F85:F90" si="57">C85/E85</f>
        <v>1.0684244657221191</v>
      </c>
      <c r="G85" s="27">
        <f t="shared" si="54"/>
        <v>-4.3168654205503199E-3</v>
      </c>
      <c r="H85" s="24">
        <v>3178.85</v>
      </c>
      <c r="I85" s="27">
        <f t="shared" si="55"/>
        <v>-1.9705496877650219E-2</v>
      </c>
      <c r="J85" s="13">
        <f t="shared" ref="J85:J90" si="58">F85/$F$3</f>
        <v>0.91596383587489349</v>
      </c>
      <c r="K85" s="13">
        <f t="shared" ref="K85:K90" si="59">H85/$H$3</f>
        <v>0.59583477035193211</v>
      </c>
    </row>
    <row r="86" spans="1:11" x14ac:dyDescent="0.25">
      <c r="A86" s="4">
        <v>42277</v>
      </c>
      <c r="B86" s="23">
        <f>C86-SUM($D$3:D86)</f>
        <v>605771</v>
      </c>
      <c r="C86" s="28">
        <v>4323824</v>
      </c>
      <c r="D86" s="24">
        <v>0</v>
      </c>
      <c r="E86" s="25">
        <f t="shared" si="56"/>
        <v>4001734.4577655951</v>
      </c>
      <c r="F86" s="26">
        <f t="shared" si="57"/>
        <v>1.0804874850227435</v>
      </c>
      <c r="G86" s="27">
        <f t="shared" si="54"/>
        <v>1.1290474607834167E-2</v>
      </c>
      <c r="H86" s="24">
        <v>3202.95</v>
      </c>
      <c r="I86" s="27">
        <f t="shared" si="55"/>
        <v>7.5813580382841916E-3</v>
      </c>
      <c r="J86" s="13">
        <f t="shared" si="58"/>
        <v>0.92630550230553343</v>
      </c>
      <c r="K86" s="13">
        <f t="shared" si="59"/>
        <v>0.60035200707762892</v>
      </c>
    </row>
    <row r="87" spans="1:11" x14ac:dyDescent="0.25">
      <c r="A87" s="4">
        <v>42285</v>
      </c>
      <c r="B87" s="23">
        <f>C87-SUM($D$3:D87)</f>
        <v>602196</v>
      </c>
      <c r="C87" s="28">
        <v>4320249</v>
      </c>
      <c r="D87" s="24">
        <v>0</v>
      </c>
      <c r="E87" s="25">
        <f t="shared" si="56"/>
        <v>4001734.4577655951</v>
      </c>
      <c r="F87" s="26">
        <f t="shared" si="57"/>
        <v>1.079594122397679</v>
      </c>
      <c r="G87" s="27">
        <f t="shared" si="54"/>
        <v>-8.2681441242760112E-4</v>
      </c>
      <c r="H87" s="24">
        <v>3296.48</v>
      </c>
      <c r="I87" s="27">
        <f t="shared" si="55"/>
        <v>2.9201205139012476E-2</v>
      </c>
      <c r="J87" s="13">
        <f t="shared" si="58"/>
        <v>0.92553961956591624</v>
      </c>
      <c r="K87" s="13">
        <f t="shared" si="59"/>
        <v>0.61788300919192074</v>
      </c>
    </row>
    <row r="88" spans="1:11" x14ac:dyDescent="0.25">
      <c r="A88" s="4">
        <v>42286</v>
      </c>
      <c r="B88" s="23">
        <f>C88-SUM($D$3:D88)</f>
        <v>606563</v>
      </c>
      <c r="C88" s="28">
        <v>4324616</v>
      </c>
      <c r="D88" s="24">
        <v>0</v>
      </c>
      <c r="E88" s="25">
        <f t="shared" si="56"/>
        <v>4001734.4577655951</v>
      </c>
      <c r="F88" s="26">
        <f t="shared" si="57"/>
        <v>1.0806853992042962</v>
      </c>
      <c r="G88" s="27">
        <f t="shared" si="54"/>
        <v>1.0108213670092514E-3</v>
      </c>
      <c r="H88" s="24">
        <v>3340.12</v>
      </c>
      <c r="I88" s="27">
        <f t="shared" si="55"/>
        <v>1.3238363345143833E-2</v>
      </c>
      <c r="J88" s="13">
        <f t="shared" si="58"/>
        <v>0.92647517478938701</v>
      </c>
      <c r="K88" s="13">
        <f t="shared" si="59"/>
        <v>0.62606276897239421</v>
      </c>
    </row>
    <row r="89" spans="1:11" x14ac:dyDescent="0.25">
      <c r="A89" s="4">
        <v>42313</v>
      </c>
      <c r="B89" s="23">
        <f>C89-SUM($D$3:D89)</f>
        <v>617807</v>
      </c>
      <c r="C89" s="28">
        <v>2835860</v>
      </c>
      <c r="D89" s="24">
        <v>-1500000</v>
      </c>
      <c r="E89" s="25">
        <f t="shared" si="56"/>
        <v>2613726.4388690288</v>
      </c>
      <c r="F89" s="26">
        <f t="shared" si="57"/>
        <v>1.0849873031192543</v>
      </c>
      <c r="G89" s="27">
        <f t="shared" ref="G89:G94" si="60">F89/F88-1</f>
        <v>3.9807180869895209E-3</v>
      </c>
      <c r="H89" s="24">
        <v>3705.97</v>
      </c>
      <c r="I89" s="27">
        <f t="shared" ref="I89:I94" si="61">H89/H88-1</f>
        <v>0.10953199286253179</v>
      </c>
      <c r="J89" s="13">
        <f t="shared" si="58"/>
        <v>0.93016321127481794</v>
      </c>
      <c r="K89" s="13">
        <f t="shared" si="59"/>
        <v>0.69463667171497545</v>
      </c>
    </row>
    <row r="90" spans="1:11" x14ac:dyDescent="0.25">
      <c r="A90" s="4">
        <v>42314</v>
      </c>
      <c r="B90" s="23">
        <f>C90-SUM($D$3:D90)</f>
        <v>616208</v>
      </c>
      <c r="C90" s="28">
        <v>2834261</v>
      </c>
      <c r="D90" s="24">
        <v>0</v>
      </c>
      <c r="E90" s="25">
        <f t="shared" si="56"/>
        <v>2613726.4388690288</v>
      </c>
      <c r="F90" s="26">
        <f t="shared" si="57"/>
        <v>1.0843755328986906</v>
      </c>
      <c r="G90" s="27">
        <f t="shared" si="60"/>
        <v>-5.63850119540521E-4</v>
      </c>
      <c r="H90" s="24">
        <v>3793.37</v>
      </c>
      <c r="I90" s="27">
        <f t="shared" si="61"/>
        <v>2.3583569213998068E-2</v>
      </c>
      <c r="J90" s="13">
        <f t="shared" si="58"/>
        <v>0.92963873863694846</v>
      </c>
      <c r="K90" s="13">
        <f t="shared" si="59"/>
        <v>0.71101868374094679</v>
      </c>
    </row>
    <row r="91" spans="1:11" x14ac:dyDescent="0.25">
      <c r="A91" s="4">
        <v>42317</v>
      </c>
      <c r="B91" s="23">
        <f>C91-SUM($D$3:D91)</f>
        <v>612646</v>
      </c>
      <c r="C91" s="28">
        <v>2830699</v>
      </c>
      <c r="D91" s="24">
        <v>0</v>
      </c>
      <c r="E91" s="25">
        <f t="shared" ref="E91:E100" si="62">E90+D91/F90</f>
        <v>2613726.4388690288</v>
      </c>
      <c r="F91" s="26">
        <f t="shared" ref="F91:F100" si="63">C91/E91</f>
        <v>1.0830127276919066</v>
      </c>
      <c r="G91" s="27">
        <f t="shared" si="60"/>
        <v>-1.2567649909446255E-3</v>
      </c>
      <c r="H91" s="24">
        <v>3840.36</v>
      </c>
      <c r="I91" s="27">
        <f t="shared" si="61"/>
        <v>1.2387402230734201E-2</v>
      </c>
      <c r="J91" s="13">
        <f t="shared" ref="J91:J100" si="64">F91/$F$3</f>
        <v>0.92847040121600366</v>
      </c>
      <c r="K91" s="13">
        <f t="shared" ref="K91:K100" si="65">H91/$H$3</f>
        <v>0.71982635817001306</v>
      </c>
    </row>
    <row r="92" spans="1:11" x14ac:dyDescent="0.25">
      <c r="A92" s="4">
        <v>42325</v>
      </c>
      <c r="B92" s="23">
        <f>C92-SUM($D$3:D92)</f>
        <v>626024</v>
      </c>
      <c r="C92" s="28">
        <v>2844077</v>
      </c>
      <c r="D92" s="24">
        <v>0</v>
      </c>
      <c r="E92" s="25">
        <f t="shared" si="62"/>
        <v>2613726.4388690288</v>
      </c>
      <c r="F92" s="26">
        <f t="shared" si="63"/>
        <v>1.0881310904253028</v>
      </c>
      <c r="G92" s="27">
        <f t="shared" si="60"/>
        <v>4.7260411650971168E-3</v>
      </c>
      <c r="H92" s="24">
        <v>3764.13</v>
      </c>
      <c r="I92" s="27">
        <f t="shared" si="61"/>
        <v>-1.9849701590475943E-2</v>
      </c>
      <c r="J92" s="13">
        <f t="shared" si="64"/>
        <v>0.93285839055272479</v>
      </c>
      <c r="K92" s="13">
        <f t="shared" si="65"/>
        <v>0.70553801976337926</v>
      </c>
    </row>
    <row r="93" spans="1:11" x14ac:dyDescent="0.25">
      <c r="A93" s="4">
        <v>42327</v>
      </c>
      <c r="B93" s="23">
        <f>C93-SUM($D$3:D93)</f>
        <v>631947</v>
      </c>
      <c r="C93" s="28">
        <v>2850000</v>
      </c>
      <c r="D93" s="24">
        <v>0</v>
      </c>
      <c r="E93" s="25">
        <f t="shared" si="62"/>
        <v>2613726.4388690288</v>
      </c>
      <c r="F93" s="26">
        <f t="shared" si="63"/>
        <v>1.0903972036313057</v>
      </c>
      <c r="G93" s="27">
        <f t="shared" si="60"/>
        <v>2.0825737137215583E-3</v>
      </c>
      <c r="H93" s="24">
        <v>3774.13</v>
      </c>
      <c r="I93" s="27">
        <f t="shared" si="61"/>
        <v>2.656656385406464E-3</v>
      </c>
      <c r="J93" s="13">
        <f t="shared" si="64"/>
        <v>0.93480113691551447</v>
      </c>
      <c r="K93" s="13">
        <f t="shared" si="65"/>
        <v>0.70741239184873073</v>
      </c>
    </row>
    <row r="94" spans="1:11" x14ac:dyDescent="0.25">
      <c r="A94" s="4">
        <v>42328</v>
      </c>
      <c r="B94" s="23">
        <f>C94-SUM($D$3:D94)</f>
        <v>631947</v>
      </c>
      <c r="C94" s="28">
        <v>2850000</v>
      </c>
      <c r="D94" s="24">
        <v>0</v>
      </c>
      <c r="E94" s="25">
        <f t="shared" si="62"/>
        <v>2613726.4388690288</v>
      </c>
      <c r="F94" s="26">
        <f t="shared" si="63"/>
        <v>1.0903972036313057</v>
      </c>
      <c r="G94" s="27">
        <f t="shared" si="60"/>
        <v>0</v>
      </c>
      <c r="H94" s="24">
        <v>3774.13</v>
      </c>
      <c r="I94" s="27">
        <f t="shared" si="61"/>
        <v>0</v>
      </c>
      <c r="J94" s="13">
        <f t="shared" si="64"/>
        <v>0.93480113691551447</v>
      </c>
      <c r="K94" s="13">
        <f t="shared" si="65"/>
        <v>0.70741239184873073</v>
      </c>
    </row>
    <row r="95" spans="1:11" x14ac:dyDescent="0.25">
      <c r="A95" s="4">
        <v>42335</v>
      </c>
      <c r="B95" s="23">
        <f>C95-SUM($D$3:D95)</f>
        <v>571947</v>
      </c>
      <c r="C95" s="28">
        <v>2790000</v>
      </c>
      <c r="D95" s="24">
        <v>0</v>
      </c>
      <c r="E95" s="25">
        <f t="shared" si="62"/>
        <v>2613726.4388690288</v>
      </c>
      <c r="F95" s="26">
        <f t="shared" si="63"/>
        <v>1.0674414730285413</v>
      </c>
      <c r="G95" s="27">
        <f t="shared" ref="G95:G100" si="66">F95/F94-1</f>
        <v>-2.1052631578947434E-2</v>
      </c>
      <c r="H95" s="24">
        <v>3556.99</v>
      </c>
      <c r="I95" s="27">
        <f t="shared" ref="I95:I100" si="67">H95/H94-1</f>
        <v>-5.7533789244143763E-2</v>
      </c>
      <c r="J95" s="13">
        <f t="shared" si="64"/>
        <v>0.91512111298045107</v>
      </c>
      <c r="K95" s="13">
        <f t="shared" si="65"/>
        <v>0.66671227638741015</v>
      </c>
    </row>
    <row r="96" spans="1:11" x14ac:dyDescent="0.25">
      <c r="A96" s="4">
        <v>42349</v>
      </c>
      <c r="B96" s="23">
        <f>C96-SUM($D$3:D96)</f>
        <v>597547</v>
      </c>
      <c r="C96" s="28">
        <v>2815600</v>
      </c>
      <c r="D96" s="24">
        <v>0</v>
      </c>
      <c r="E96" s="25">
        <f t="shared" si="62"/>
        <v>2613726.4388690288</v>
      </c>
      <c r="F96" s="26">
        <f t="shared" si="63"/>
        <v>1.0772359180857209</v>
      </c>
      <c r="G96" s="27">
        <f t="shared" si="66"/>
        <v>9.1756272401435357E-3</v>
      </c>
      <c r="H96" s="24">
        <v>3608.99</v>
      </c>
      <c r="I96" s="27">
        <f t="shared" si="67"/>
        <v>1.4619102105994042E-2</v>
      </c>
      <c r="J96" s="13">
        <f t="shared" si="64"/>
        <v>0.92351792319274495</v>
      </c>
      <c r="K96" s="13">
        <f t="shared" si="65"/>
        <v>0.67645901123123753</v>
      </c>
    </row>
    <row r="97" spans="1:11" x14ac:dyDescent="0.25">
      <c r="A97" s="4">
        <v>42355</v>
      </c>
      <c r="B97" s="23">
        <f>C97-SUM($D$3:D97)</f>
        <v>615032</v>
      </c>
      <c r="C97" s="28">
        <v>3933085</v>
      </c>
      <c r="D97" s="24">
        <v>1100000</v>
      </c>
      <c r="E97" s="25">
        <f t="shared" si="62"/>
        <v>3634858.3762024324</v>
      </c>
      <c r="F97" s="26">
        <f t="shared" si="63"/>
        <v>1.0820462843202006</v>
      </c>
      <c r="G97" s="27">
        <f t="shared" si="66"/>
        <v>4.4654714475429458E-3</v>
      </c>
      <c r="H97" s="24">
        <v>3755.89</v>
      </c>
      <c r="I97" s="27">
        <f t="shared" si="67"/>
        <v>4.0703908849844428E-2</v>
      </c>
      <c r="J97" s="13">
        <f t="shared" si="64"/>
        <v>0.92764186611005639</v>
      </c>
      <c r="K97" s="13">
        <f t="shared" si="65"/>
        <v>0.70399353716504975</v>
      </c>
    </row>
    <row r="98" spans="1:11" x14ac:dyDescent="0.25">
      <c r="A98" s="4">
        <v>42356</v>
      </c>
      <c r="B98" s="23">
        <f>C98-SUM($D$3:D98)</f>
        <v>620843</v>
      </c>
      <c r="C98" s="28">
        <v>3938896</v>
      </c>
      <c r="D98" s="24">
        <v>0</v>
      </c>
      <c r="E98" s="25">
        <f t="shared" si="62"/>
        <v>3634858.3762024324</v>
      </c>
      <c r="F98" s="26">
        <f t="shared" si="63"/>
        <v>1.0836449710910649</v>
      </c>
      <c r="G98" s="27">
        <f t="shared" si="66"/>
        <v>1.4774661620586826E-3</v>
      </c>
      <c r="H98" s="24">
        <v>3767.91</v>
      </c>
      <c r="I98" s="27">
        <f t="shared" si="67"/>
        <v>3.2003067182477807E-3</v>
      </c>
      <c r="J98" s="13">
        <f t="shared" si="64"/>
        <v>0.92901242557774288</v>
      </c>
      <c r="K98" s="13">
        <f t="shared" si="65"/>
        <v>0.70624653241164204</v>
      </c>
    </row>
    <row r="99" spans="1:11" x14ac:dyDescent="0.25">
      <c r="A99" s="4">
        <v>42360</v>
      </c>
      <c r="B99" s="23">
        <f>C99-SUM($D$3:D99)</f>
        <v>636786</v>
      </c>
      <c r="C99" s="28">
        <v>3954839</v>
      </c>
      <c r="D99" s="24">
        <v>0</v>
      </c>
      <c r="E99" s="25">
        <f t="shared" si="62"/>
        <v>3634858.3762024324</v>
      </c>
      <c r="F99" s="26">
        <f t="shared" si="63"/>
        <v>1.0880311117188206</v>
      </c>
      <c r="G99" s="27">
        <f t="shared" si="66"/>
        <v>4.047580844987797E-3</v>
      </c>
      <c r="H99" s="24">
        <v>3876.73</v>
      </c>
      <c r="I99" s="27">
        <f t="shared" si="67"/>
        <v>2.8880732289253253E-2</v>
      </c>
      <c r="J99" s="13">
        <f t="shared" si="64"/>
        <v>0.93277267847626721</v>
      </c>
      <c r="K99" s="13">
        <f t="shared" si="65"/>
        <v>0.72664344944443615</v>
      </c>
    </row>
    <row r="100" spans="1:11" x14ac:dyDescent="0.25">
      <c r="A100" s="4">
        <v>42365</v>
      </c>
      <c r="B100" s="23">
        <f>C100-SUM($D$3:D100)</f>
        <v>661485</v>
      </c>
      <c r="C100" s="28">
        <v>3979538</v>
      </c>
      <c r="D100" s="24">
        <v>0</v>
      </c>
      <c r="E100" s="25">
        <f t="shared" si="62"/>
        <v>3634858.3762024324</v>
      </c>
      <c r="F100" s="26">
        <f t="shared" si="63"/>
        <v>1.0948261495012293</v>
      </c>
      <c r="G100" s="27">
        <f t="shared" si="66"/>
        <v>6.245260552958154E-3</v>
      </c>
      <c r="H100" s="24">
        <v>3838.2</v>
      </c>
      <c r="I100" s="27">
        <f t="shared" si="67"/>
        <v>-9.938788618242711E-3</v>
      </c>
      <c r="J100" s="13">
        <f t="shared" si="64"/>
        <v>0.93859808689003199</v>
      </c>
      <c r="K100" s="13">
        <f t="shared" si="65"/>
        <v>0.71942149379957709</v>
      </c>
    </row>
  </sheetData>
  <customSheetViews>
    <customSheetView guid="{1E41C6D1-1FF2-4EDC-93A7-39FD0856DDAE}" state="hidden" topLeftCell="A73">
      <selection activeCell="B100" sqref="B100"/>
      <pageMargins left="0.7" right="0.7" top="0.75" bottom="0.75" header="0.3" footer="0.3"/>
      <pageSetup paperSize="9" orientation="portrait" verticalDpi="0"/>
    </customSheetView>
    <customSheetView guid="{2C754312-9D31-43A1-8D1D-F4080D321E7F}" state="hidden" topLeftCell="A73">
      <selection activeCell="B100" sqref="B100"/>
      <pageMargins left="0.7" right="0.7" top="0.75" bottom="0.75" header="0.3" footer="0.3"/>
      <pageSetup paperSize="9" orientation="portrait" verticalDpi="0"/>
    </customSheetView>
  </customSheetViews>
  <phoneticPr fontId="3" type="noConversion"/>
  <pageMargins left="0.7" right="0.7" top="0.75" bottom="0.75" header="0.3" footer="0.3"/>
  <pageSetup paperSize="9" orientation="portrait" verticalDpi="0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60"/>
  <sheetViews>
    <sheetView topLeftCell="A13" workbookViewId="0">
      <selection activeCell="P50" sqref="P50"/>
    </sheetView>
  </sheetViews>
  <sheetFormatPr defaultRowHeight="15.6" x14ac:dyDescent="0.25"/>
  <cols>
    <col min="1" max="1" width="10.8984375" customWidth="1"/>
    <col min="2" max="2" width="9" style="5"/>
    <col min="3" max="3" width="23.8984375" customWidth="1"/>
    <col min="9" max="9" width="11" customWidth="1"/>
    <col min="11" max="11" width="10.5" bestFit="1" customWidth="1"/>
    <col min="16" max="16" width="8" customWidth="1"/>
    <col min="17" max="17" width="11.19921875" customWidth="1"/>
  </cols>
  <sheetData>
    <row r="1" spans="1:13" x14ac:dyDescent="0.25">
      <c r="A1" s="6" t="s">
        <v>0</v>
      </c>
      <c r="B1" s="105" t="s">
        <v>316</v>
      </c>
      <c r="C1" s="7" t="s">
        <v>317</v>
      </c>
      <c r="D1" s="7" t="s">
        <v>318</v>
      </c>
      <c r="E1" s="7" t="s">
        <v>301</v>
      </c>
      <c r="F1" s="7" t="s">
        <v>911</v>
      </c>
      <c r="G1" s="7" t="s">
        <v>319</v>
      </c>
      <c r="I1" s="6" t="s">
        <v>0</v>
      </c>
      <c r="J1" s="76" t="s">
        <v>912</v>
      </c>
      <c r="K1" s="76" t="s">
        <v>914</v>
      </c>
      <c r="L1" s="76" t="s">
        <v>916</v>
      </c>
      <c r="M1" s="76" t="s">
        <v>913</v>
      </c>
    </row>
    <row r="2" spans="1:13" x14ac:dyDescent="0.25">
      <c r="A2" s="9">
        <v>41944</v>
      </c>
      <c r="B2" s="106">
        <v>510330</v>
      </c>
      <c r="C2" s="8" t="s">
        <v>222</v>
      </c>
      <c r="D2" s="8">
        <v>2.56</v>
      </c>
      <c r="E2" s="8">
        <v>2000</v>
      </c>
      <c r="F2" s="8">
        <f>D2*E2</f>
        <v>5120</v>
      </c>
      <c r="G2" s="8">
        <v>5</v>
      </c>
      <c r="I2" s="9">
        <v>41944</v>
      </c>
      <c r="J2">
        <v>5125</v>
      </c>
      <c r="K2">
        <v>5120</v>
      </c>
      <c r="L2">
        <v>5120</v>
      </c>
      <c r="M2" s="13">
        <f>K2/SUM($L$2:L2)</f>
        <v>1</v>
      </c>
    </row>
    <row r="3" spans="1:13" x14ac:dyDescent="0.25">
      <c r="A3" s="9">
        <v>41974</v>
      </c>
      <c r="B3" s="106">
        <v>510330</v>
      </c>
      <c r="C3" s="8" t="s">
        <v>222</v>
      </c>
      <c r="D3" s="8">
        <v>3.2</v>
      </c>
      <c r="E3" s="8">
        <v>1500</v>
      </c>
      <c r="F3" s="8">
        <f>D3*E3</f>
        <v>4800</v>
      </c>
      <c r="G3" s="8">
        <v>5</v>
      </c>
      <c r="I3" s="9">
        <v>41974</v>
      </c>
      <c r="J3">
        <v>9930</v>
      </c>
      <c r="K3">
        <v>11200</v>
      </c>
      <c r="L3">
        <f>INT((J3-J2)/M2)+L2</f>
        <v>9925</v>
      </c>
      <c r="M3" s="13">
        <f>K3/L3</f>
        <v>1.128463476070529</v>
      </c>
    </row>
    <row r="4" spans="1:13" x14ac:dyDescent="0.25">
      <c r="A4" s="9">
        <v>42005</v>
      </c>
      <c r="B4" s="106">
        <v>510330</v>
      </c>
      <c r="C4" s="8" t="s">
        <v>222</v>
      </c>
      <c r="D4" s="8">
        <v>3.6480000000000001</v>
      </c>
      <c r="E4" s="8">
        <v>1400</v>
      </c>
      <c r="F4" s="8">
        <f>D4*E4</f>
        <v>5107.2</v>
      </c>
      <c r="G4" s="8">
        <v>5</v>
      </c>
      <c r="I4" s="9">
        <v>42005</v>
      </c>
      <c r="J4">
        <v>15042.2</v>
      </c>
      <c r="K4">
        <v>17875.2</v>
      </c>
      <c r="L4">
        <f>INT((J4-J3)/M3)+L3</f>
        <v>14455</v>
      </c>
      <c r="M4" s="13">
        <f>K4/L4</f>
        <v>1.2366101694915255</v>
      </c>
    </row>
    <row r="5" spans="1:13" x14ac:dyDescent="0.25">
      <c r="A5" s="9">
        <v>42036</v>
      </c>
      <c r="B5" s="106">
        <v>510330</v>
      </c>
      <c r="C5" s="8" t="s">
        <v>222</v>
      </c>
      <c r="D5" s="8">
        <v>3.4820000000000002</v>
      </c>
      <c r="E5" s="8">
        <v>1500</v>
      </c>
      <c r="F5" s="8">
        <f t="shared" ref="F5:F23" si="0">D5*E5</f>
        <v>5223</v>
      </c>
      <c r="G5" s="8">
        <v>5</v>
      </c>
      <c r="I5" s="9">
        <v>42036</v>
      </c>
      <c r="J5">
        <v>20270.2</v>
      </c>
      <c r="K5">
        <v>22284.800000000003</v>
      </c>
      <c r="L5">
        <f t="shared" ref="L5:L27" si="1">INT((J5-J4)/M4)+L4</f>
        <v>18682</v>
      </c>
      <c r="M5" s="13">
        <f t="shared" ref="M5:M27" si="2">K5/L5</f>
        <v>1.192848731399208</v>
      </c>
    </row>
    <row r="6" spans="1:13" x14ac:dyDescent="0.25">
      <c r="A6" s="9">
        <v>42064</v>
      </c>
      <c r="B6" s="106">
        <v>510330</v>
      </c>
      <c r="C6" s="8" t="s">
        <v>222</v>
      </c>
      <c r="D6" s="8">
        <v>3.64</v>
      </c>
      <c r="E6" s="8">
        <v>1400</v>
      </c>
      <c r="F6" s="8">
        <f t="shared" si="0"/>
        <v>5096</v>
      </c>
      <c r="G6" s="8">
        <v>5</v>
      </c>
      <c r="I6" s="9">
        <v>42064</v>
      </c>
      <c r="J6">
        <v>25371.200000000001</v>
      </c>
      <c r="K6">
        <v>28392</v>
      </c>
      <c r="L6">
        <f t="shared" si="1"/>
        <v>22958</v>
      </c>
      <c r="M6" s="13">
        <f t="shared" si="2"/>
        <v>1.2366930917327292</v>
      </c>
    </row>
    <row r="7" spans="1:13" x14ac:dyDescent="0.25">
      <c r="A7" s="9">
        <v>42095</v>
      </c>
      <c r="B7" s="106">
        <v>510330</v>
      </c>
      <c r="C7" s="8" t="s">
        <v>222</v>
      </c>
      <c r="D7" s="8">
        <v>4.2279999999999998</v>
      </c>
      <c r="E7" s="8">
        <v>1200</v>
      </c>
      <c r="F7" s="8">
        <f t="shared" si="0"/>
        <v>5073.5999999999995</v>
      </c>
      <c r="G7" s="8">
        <v>5</v>
      </c>
      <c r="I7" s="9">
        <v>42095</v>
      </c>
      <c r="J7">
        <v>30449.8</v>
      </c>
      <c r="K7">
        <v>38052</v>
      </c>
      <c r="L7">
        <f t="shared" si="1"/>
        <v>27064</v>
      </c>
      <c r="M7" s="13">
        <f t="shared" si="2"/>
        <v>1.4060005911912503</v>
      </c>
    </row>
    <row r="8" spans="1:13" x14ac:dyDescent="0.25">
      <c r="A8" s="9">
        <v>42125</v>
      </c>
      <c r="B8" s="106">
        <v>510330</v>
      </c>
      <c r="C8" s="8" t="s">
        <v>222</v>
      </c>
      <c r="D8" s="8">
        <v>4.7720000000000002</v>
      </c>
      <c r="E8" s="8">
        <v>1100</v>
      </c>
      <c r="F8" s="8">
        <f t="shared" si="0"/>
        <v>5249.2</v>
      </c>
      <c r="G8" s="8">
        <v>5</v>
      </c>
      <c r="I8" s="9">
        <v>42125</v>
      </c>
      <c r="J8">
        <v>35704</v>
      </c>
      <c r="K8">
        <v>48197.200000000004</v>
      </c>
      <c r="L8">
        <f t="shared" si="1"/>
        <v>30800</v>
      </c>
      <c r="M8" s="13">
        <f t="shared" si="2"/>
        <v>1.5648441558441559</v>
      </c>
    </row>
    <row r="9" spans="1:13" x14ac:dyDescent="0.25">
      <c r="A9" s="9">
        <v>42156</v>
      </c>
      <c r="B9" s="106">
        <v>510330</v>
      </c>
      <c r="C9" s="8" t="s">
        <v>222</v>
      </c>
      <c r="D9" s="8">
        <v>5.282</v>
      </c>
      <c r="E9" s="8">
        <v>1000</v>
      </c>
      <c r="F9" s="8">
        <f t="shared" si="0"/>
        <v>5282</v>
      </c>
      <c r="G9" s="8">
        <v>5</v>
      </c>
      <c r="I9" s="9">
        <v>42156</v>
      </c>
      <c r="J9">
        <v>40991</v>
      </c>
      <c r="K9">
        <v>58630.2</v>
      </c>
      <c r="L9">
        <f t="shared" si="1"/>
        <v>34178</v>
      </c>
      <c r="M9" s="13">
        <f t="shared" si="2"/>
        <v>1.7154368307098133</v>
      </c>
    </row>
    <row r="10" spans="1:13" x14ac:dyDescent="0.25">
      <c r="A10" s="9">
        <v>42186</v>
      </c>
      <c r="B10" s="106">
        <v>510330</v>
      </c>
      <c r="C10" s="8" t="s">
        <v>222</v>
      </c>
      <c r="D10" s="8">
        <v>3.9830000000000001</v>
      </c>
      <c r="E10" s="8">
        <v>1300</v>
      </c>
      <c r="F10" s="8">
        <f t="shared" si="0"/>
        <v>5177.9000000000005</v>
      </c>
      <c r="G10" s="8">
        <v>5</v>
      </c>
      <c r="I10" s="9">
        <v>42186</v>
      </c>
      <c r="J10">
        <v>46173.9</v>
      </c>
      <c r="K10">
        <v>49389.200000000004</v>
      </c>
      <c r="L10">
        <f t="shared" si="1"/>
        <v>37199</v>
      </c>
      <c r="M10" s="13">
        <f t="shared" si="2"/>
        <v>1.327702357590258</v>
      </c>
    </row>
    <row r="11" spans="1:13" x14ac:dyDescent="0.25">
      <c r="A11" s="9">
        <v>42217</v>
      </c>
      <c r="B11" s="106">
        <v>510330</v>
      </c>
      <c r="C11" s="8" t="s">
        <v>222</v>
      </c>
      <c r="D11" s="8">
        <v>4.1260000000000003</v>
      </c>
      <c r="E11" s="8">
        <v>1200</v>
      </c>
      <c r="F11" s="8">
        <f t="shared" si="0"/>
        <v>4951.2000000000007</v>
      </c>
      <c r="G11" s="8">
        <v>5</v>
      </c>
      <c r="I11" s="9">
        <v>42217</v>
      </c>
      <c r="J11">
        <v>51130.100000000006</v>
      </c>
      <c r="K11">
        <v>56113.600000000006</v>
      </c>
      <c r="L11">
        <f t="shared" si="1"/>
        <v>40931</v>
      </c>
      <c r="M11" s="13">
        <f t="shared" si="2"/>
        <v>1.3709315677603773</v>
      </c>
    </row>
    <row r="12" spans="1:13" x14ac:dyDescent="0.25">
      <c r="A12" s="9">
        <v>42217</v>
      </c>
      <c r="B12" s="106">
        <v>510330</v>
      </c>
      <c r="C12" s="8" t="s">
        <v>222</v>
      </c>
      <c r="D12" s="8">
        <v>4.1420000000000003</v>
      </c>
      <c r="E12" s="8">
        <v>1300</v>
      </c>
      <c r="F12" s="8">
        <f t="shared" si="0"/>
        <v>5384.6</v>
      </c>
      <c r="G12" s="8">
        <v>5</v>
      </c>
      <c r="I12" s="9">
        <v>42217</v>
      </c>
      <c r="J12">
        <v>56519.700000000004</v>
      </c>
      <c r="K12">
        <v>61715.8</v>
      </c>
      <c r="L12">
        <f t="shared" si="1"/>
        <v>44862</v>
      </c>
      <c r="M12" s="13">
        <f t="shared" si="2"/>
        <v>1.3756809772190273</v>
      </c>
    </row>
    <row r="13" spans="1:13" x14ac:dyDescent="0.25">
      <c r="A13" s="9">
        <v>42248</v>
      </c>
      <c r="B13" s="106">
        <v>510330</v>
      </c>
      <c r="C13" s="8" t="s">
        <v>222</v>
      </c>
      <c r="D13" s="8">
        <v>3.2429999999999999</v>
      </c>
      <c r="E13" s="8">
        <v>1500</v>
      </c>
      <c r="F13" s="8">
        <f t="shared" si="0"/>
        <v>4864.5</v>
      </c>
      <c r="G13" s="8">
        <v>5</v>
      </c>
      <c r="I13" s="9">
        <v>42248</v>
      </c>
      <c r="J13">
        <v>61389.200000000004</v>
      </c>
      <c r="K13">
        <v>53185.2</v>
      </c>
      <c r="L13">
        <f t="shared" si="1"/>
        <v>48401</v>
      </c>
      <c r="M13" s="13">
        <f t="shared" si="2"/>
        <v>1.0988450651846036</v>
      </c>
    </row>
    <row r="14" spans="1:13" x14ac:dyDescent="0.25">
      <c r="A14" s="9">
        <v>42278</v>
      </c>
      <c r="B14" s="106">
        <v>510330</v>
      </c>
      <c r="C14" s="8" t="s">
        <v>222</v>
      </c>
      <c r="D14" s="8">
        <v>3.5</v>
      </c>
      <c r="E14" s="8">
        <v>1400</v>
      </c>
      <c r="F14" s="8">
        <f t="shared" si="0"/>
        <v>4900</v>
      </c>
      <c r="G14" s="8">
        <v>5</v>
      </c>
      <c r="I14" s="9">
        <v>42278</v>
      </c>
      <c r="J14">
        <v>66294.200000000012</v>
      </c>
      <c r="K14">
        <v>62300</v>
      </c>
      <c r="L14">
        <f t="shared" si="1"/>
        <v>52864</v>
      </c>
      <c r="M14" s="13">
        <f t="shared" si="2"/>
        <v>1.1784957627118644</v>
      </c>
    </row>
    <row r="15" spans="1:13" x14ac:dyDescent="0.25">
      <c r="A15" s="9">
        <v>42309</v>
      </c>
      <c r="B15" s="106">
        <v>510330</v>
      </c>
      <c r="C15" s="8" t="s">
        <v>222</v>
      </c>
      <c r="D15" s="8">
        <v>3.9039999999999999</v>
      </c>
      <c r="E15" s="8">
        <v>1300</v>
      </c>
      <c r="F15" s="8">
        <f t="shared" si="0"/>
        <v>5075.2</v>
      </c>
      <c r="G15" s="8">
        <v>5</v>
      </c>
      <c r="I15" s="9">
        <v>42309</v>
      </c>
      <c r="J15">
        <v>71374.400000000009</v>
      </c>
      <c r="K15">
        <v>74566.399999999994</v>
      </c>
      <c r="L15">
        <f t="shared" si="1"/>
        <v>57174</v>
      </c>
      <c r="M15" s="13">
        <f t="shared" si="2"/>
        <v>1.3042012103403644</v>
      </c>
    </row>
    <row r="16" spans="1:13" x14ac:dyDescent="0.25">
      <c r="A16" s="9">
        <v>42339</v>
      </c>
      <c r="B16" s="106">
        <v>510330</v>
      </c>
      <c r="C16" s="8" t="s">
        <v>222</v>
      </c>
      <c r="D16" s="8">
        <v>3.7360000000000002</v>
      </c>
      <c r="E16" s="8">
        <v>1400</v>
      </c>
      <c r="F16" s="8">
        <f t="shared" si="0"/>
        <v>5230.4000000000005</v>
      </c>
      <c r="G16" s="8">
        <v>5</v>
      </c>
      <c r="I16" s="9">
        <v>42339</v>
      </c>
      <c r="J16">
        <v>76609.8</v>
      </c>
      <c r="K16">
        <v>80032</v>
      </c>
      <c r="L16">
        <f t="shared" si="1"/>
        <v>61188</v>
      </c>
      <c r="M16" s="13">
        <f t="shared" si="2"/>
        <v>1.3079688827874747</v>
      </c>
    </row>
    <row r="17" spans="1:20" x14ac:dyDescent="0.25">
      <c r="A17" s="9">
        <v>42339</v>
      </c>
      <c r="B17" s="106">
        <v>510330</v>
      </c>
      <c r="C17" s="8" t="s">
        <v>222</v>
      </c>
      <c r="D17" s="8">
        <v>3.964</v>
      </c>
      <c r="E17" s="8">
        <v>-10500</v>
      </c>
      <c r="F17" s="8">
        <f>D17*E17</f>
        <v>-41622</v>
      </c>
      <c r="G17" s="8">
        <v>5</v>
      </c>
      <c r="I17" s="9">
        <v>42339</v>
      </c>
      <c r="J17" s="2">
        <v>87710</v>
      </c>
      <c r="K17">
        <v>90100</v>
      </c>
      <c r="L17">
        <f t="shared" si="1"/>
        <v>69674</v>
      </c>
      <c r="M17" s="13">
        <f t="shared" si="2"/>
        <v>1.2931653127421994</v>
      </c>
    </row>
    <row r="18" spans="1:20" x14ac:dyDescent="0.25">
      <c r="A18" s="9">
        <v>42339</v>
      </c>
      <c r="B18" s="106">
        <v>510330</v>
      </c>
      <c r="C18" s="8" t="s">
        <v>222</v>
      </c>
      <c r="D18" s="8">
        <v>3.8410000000000002</v>
      </c>
      <c r="E18" s="8">
        <v>-10000</v>
      </c>
      <c r="F18" s="8">
        <f>D18*E18</f>
        <v>-38410</v>
      </c>
      <c r="G18" s="8">
        <v>5</v>
      </c>
      <c r="I18" s="9">
        <v>42370</v>
      </c>
      <c r="J18" s="2">
        <v>92779</v>
      </c>
      <c r="K18">
        <v>89464</v>
      </c>
      <c r="L18">
        <f t="shared" si="1"/>
        <v>73593</v>
      </c>
      <c r="M18" s="13">
        <f t="shared" si="2"/>
        <v>1.2156590980120392</v>
      </c>
      <c r="N18" s="2"/>
    </row>
    <row r="19" spans="1:20" x14ac:dyDescent="0.25">
      <c r="A19" s="9">
        <v>42339</v>
      </c>
      <c r="B19" s="106">
        <v>510900</v>
      </c>
      <c r="C19" s="8" t="s">
        <v>320</v>
      </c>
      <c r="D19" s="8">
        <v>0.90100000000000002</v>
      </c>
      <c r="E19" s="8">
        <v>100000</v>
      </c>
      <c r="F19" s="8">
        <f t="shared" si="0"/>
        <v>90100</v>
      </c>
      <c r="G19" s="8">
        <v>22.53</v>
      </c>
      <c r="I19" s="9">
        <v>42401</v>
      </c>
      <c r="J19" s="2">
        <v>97779.9</v>
      </c>
      <c r="K19">
        <v>91809.9</v>
      </c>
      <c r="L19">
        <f t="shared" si="1"/>
        <v>77706</v>
      </c>
      <c r="M19" s="13">
        <f t="shared" si="2"/>
        <v>1.1815033588139912</v>
      </c>
      <c r="N19" s="2"/>
    </row>
    <row r="20" spans="1:20" x14ac:dyDescent="0.25">
      <c r="A20" s="9">
        <v>42370</v>
      </c>
      <c r="B20" s="106">
        <v>510900</v>
      </c>
      <c r="C20" s="8" t="s">
        <v>320</v>
      </c>
      <c r="D20" s="8">
        <v>0.84399999999999997</v>
      </c>
      <c r="E20" s="8">
        <v>6000</v>
      </c>
      <c r="F20" s="8">
        <f t="shared" si="0"/>
        <v>5064</v>
      </c>
      <c r="G20" s="8">
        <v>5</v>
      </c>
      <c r="I20" s="9">
        <v>42430</v>
      </c>
      <c r="J20" s="2">
        <v>102790.29999999999</v>
      </c>
      <c r="K20">
        <v>101747.7</v>
      </c>
      <c r="L20">
        <f t="shared" si="1"/>
        <v>81946</v>
      </c>
      <c r="M20" s="13">
        <f t="shared" si="2"/>
        <v>1.24164327728016</v>
      </c>
      <c r="N20" s="2"/>
    </row>
    <row r="21" spans="1:20" x14ac:dyDescent="0.25">
      <c r="A21" s="9">
        <v>42401</v>
      </c>
      <c r="B21" s="106">
        <v>510900</v>
      </c>
      <c r="C21" s="8" t="s">
        <v>320</v>
      </c>
      <c r="D21" s="8">
        <v>0.81899999999999995</v>
      </c>
      <c r="E21" s="8">
        <v>6100</v>
      </c>
      <c r="F21" s="8">
        <f t="shared" si="0"/>
        <v>4995.8999999999996</v>
      </c>
      <c r="G21" s="8">
        <v>5</v>
      </c>
      <c r="I21" s="9">
        <v>42461</v>
      </c>
      <c r="J21" s="2">
        <v>112795.79999999999</v>
      </c>
      <c r="K21">
        <v>114342</v>
      </c>
      <c r="L21">
        <f t="shared" si="1"/>
        <v>90004</v>
      </c>
      <c r="M21" s="13">
        <f t="shared" si="2"/>
        <v>1.2704102039909337</v>
      </c>
      <c r="N21" s="2"/>
    </row>
    <row r="22" spans="1:20" x14ac:dyDescent="0.25">
      <c r="A22" s="10">
        <v>42430</v>
      </c>
      <c r="B22" s="107">
        <v>510900</v>
      </c>
      <c r="C22" s="11" t="s">
        <v>320</v>
      </c>
      <c r="D22" s="11">
        <v>0.86299999999999999</v>
      </c>
      <c r="E22" s="11">
        <v>5800</v>
      </c>
      <c r="F22" s="11">
        <f t="shared" si="0"/>
        <v>5005.3999999999996</v>
      </c>
      <c r="G22" s="11">
        <v>5</v>
      </c>
      <c r="I22" s="9">
        <v>42491</v>
      </c>
      <c r="J22" s="2">
        <v>122823.9</v>
      </c>
      <c r="K22">
        <v>124623.5</v>
      </c>
      <c r="L22">
        <f t="shared" si="1"/>
        <v>97897</v>
      </c>
      <c r="M22" s="13">
        <f t="shared" si="2"/>
        <v>1.2730063229721034</v>
      </c>
      <c r="N22" s="2"/>
      <c r="P22" s="2"/>
    </row>
    <row r="23" spans="1:20" x14ac:dyDescent="0.25">
      <c r="A23" s="9">
        <v>42461</v>
      </c>
      <c r="B23" s="106">
        <v>510900</v>
      </c>
      <c r="C23" s="8" t="s">
        <v>320</v>
      </c>
      <c r="D23" s="12">
        <v>0.88500000000000001</v>
      </c>
      <c r="E23" s="12">
        <v>11300</v>
      </c>
      <c r="F23" s="12">
        <f t="shared" si="0"/>
        <v>10000.5</v>
      </c>
      <c r="G23" s="8">
        <v>5</v>
      </c>
      <c r="I23" s="9">
        <v>42522</v>
      </c>
      <c r="J23" s="2">
        <v>132772.9</v>
      </c>
      <c r="K23">
        <v>136956</v>
      </c>
      <c r="L23">
        <f t="shared" si="1"/>
        <v>105712</v>
      </c>
      <c r="M23" s="13">
        <f t="shared" si="2"/>
        <v>1.2955577417890116</v>
      </c>
      <c r="N23" s="2"/>
      <c r="O23" s="88" t="s">
        <v>915</v>
      </c>
    </row>
    <row r="24" spans="1:20" x14ac:dyDescent="0.25">
      <c r="A24" s="9">
        <v>42491</v>
      </c>
      <c r="B24" s="106">
        <v>510900</v>
      </c>
      <c r="C24" s="8" t="s">
        <v>320</v>
      </c>
      <c r="D24" s="8">
        <v>0.88700000000000001</v>
      </c>
      <c r="E24" s="8">
        <v>11300</v>
      </c>
      <c r="F24" s="8">
        <v>10023.1</v>
      </c>
      <c r="G24" s="8">
        <v>5</v>
      </c>
      <c r="I24" s="9">
        <v>42552</v>
      </c>
      <c r="J24" s="2">
        <v>142735.5</v>
      </c>
      <c r="K24">
        <v>149640.6</v>
      </c>
      <c r="L24">
        <f t="shared" si="1"/>
        <v>113401</v>
      </c>
      <c r="M24" s="13">
        <f t="shared" si="2"/>
        <v>1.3195703741589582</v>
      </c>
      <c r="N24" s="2"/>
      <c r="P24">
        <v>510900</v>
      </c>
      <c r="Q24">
        <f>SUMIF($B$2:$B$27,P24,$E$2:$E$104)</f>
        <v>171900</v>
      </c>
      <c r="R24" s="77">
        <v>1.0840000000000001</v>
      </c>
      <c r="S24">
        <f>Q24*R24</f>
        <v>186339.6</v>
      </c>
      <c r="T24">
        <f>R24*S24</f>
        <v>201992.12640000001</v>
      </c>
    </row>
    <row r="25" spans="1:20" x14ac:dyDescent="0.25">
      <c r="A25" s="10">
        <v>42522</v>
      </c>
      <c r="B25" s="106">
        <v>510900</v>
      </c>
      <c r="C25" s="8" t="s">
        <v>320</v>
      </c>
      <c r="D25" s="12">
        <v>0.90400000000000003</v>
      </c>
      <c r="E25" s="12">
        <v>11000</v>
      </c>
      <c r="F25" s="12">
        <v>9944</v>
      </c>
      <c r="G25" s="12">
        <v>5</v>
      </c>
      <c r="I25" s="9">
        <v>42583</v>
      </c>
      <c r="J25" s="2">
        <v>152676.5</v>
      </c>
      <c r="K25">
        <v>177916.5</v>
      </c>
      <c r="L25">
        <f t="shared" si="1"/>
        <v>120934</v>
      </c>
      <c r="M25" s="13">
        <f t="shared" si="2"/>
        <v>1.4711867630277673</v>
      </c>
      <c r="N25" s="2"/>
      <c r="P25">
        <v>510880</v>
      </c>
      <c r="Q25">
        <f>SUMIF($B$2:$B$104,P25,$E$2:$E$104)</f>
        <v>91200</v>
      </c>
      <c r="R25" s="77">
        <v>2.8</v>
      </c>
      <c r="S25">
        <f>Q25*R25</f>
        <v>255359.99999999997</v>
      </c>
    </row>
    <row r="26" spans="1:20" x14ac:dyDescent="0.25">
      <c r="A26" s="9">
        <v>42552</v>
      </c>
      <c r="B26" s="106">
        <v>510900</v>
      </c>
      <c r="C26" s="8" t="s">
        <v>320</v>
      </c>
      <c r="D26" s="12">
        <v>0.92200000000000004</v>
      </c>
      <c r="E26" s="12">
        <v>10800</v>
      </c>
      <c r="F26" s="12">
        <v>9957.6</v>
      </c>
      <c r="G26" s="12">
        <v>5</v>
      </c>
      <c r="I26" s="9">
        <v>42614</v>
      </c>
      <c r="J26" s="2">
        <v>162671.70000000001</v>
      </c>
      <c r="K26">
        <v>187906</v>
      </c>
      <c r="L26">
        <f t="shared" si="1"/>
        <v>127727</v>
      </c>
      <c r="M26" s="13">
        <f t="shared" si="2"/>
        <v>1.4711533191885819</v>
      </c>
      <c r="N26" s="2"/>
      <c r="S26">
        <f>SUM(S24:S25)</f>
        <v>441699.6</v>
      </c>
    </row>
    <row r="27" spans="1:20" x14ac:dyDescent="0.25">
      <c r="A27" s="9">
        <v>42583</v>
      </c>
      <c r="B27" s="106">
        <v>510900</v>
      </c>
      <c r="C27" s="8" t="s">
        <v>320</v>
      </c>
      <c r="D27" s="12">
        <v>1.0349999999999999</v>
      </c>
      <c r="E27" s="12">
        <v>9600</v>
      </c>
      <c r="F27" s="12">
        <v>9936</v>
      </c>
      <c r="G27" s="12">
        <v>5</v>
      </c>
      <c r="I27" s="9">
        <v>42644</v>
      </c>
      <c r="J27" s="2">
        <f>J26+F30+G30</f>
        <v>172805</v>
      </c>
      <c r="K27">
        <v>202234</v>
      </c>
      <c r="L27">
        <f t="shared" si="1"/>
        <v>134614</v>
      </c>
      <c r="M27" s="13">
        <f t="shared" si="2"/>
        <v>1.5023251667731439</v>
      </c>
      <c r="N27" s="2"/>
    </row>
    <row r="28" spans="1:20" ht="12.75" customHeight="1" x14ac:dyDescent="0.25">
      <c r="A28" s="93" t="s">
        <v>1039</v>
      </c>
      <c r="B28" s="108">
        <v>510900</v>
      </c>
      <c r="C28" s="94" t="s">
        <v>320</v>
      </c>
      <c r="D28" s="95"/>
      <c r="E28" s="95">
        <v>171900</v>
      </c>
      <c r="F28" s="95"/>
      <c r="G28" s="95"/>
      <c r="I28" s="9">
        <v>42675</v>
      </c>
      <c r="J28" s="2">
        <f>J27+F31+G31</f>
        <v>182740.8</v>
      </c>
      <c r="K28">
        <v>218775</v>
      </c>
      <c r="L28">
        <f>INT((J28-J27)/M27)+L27</f>
        <v>141227</v>
      </c>
      <c r="M28" s="13">
        <f>K28/L28</f>
        <v>1.5491018006471851</v>
      </c>
      <c r="N28" s="2"/>
    </row>
    <row r="29" spans="1:20" ht="18" customHeight="1" x14ac:dyDescent="0.25">
      <c r="A29" s="9">
        <v>42614</v>
      </c>
      <c r="B29" s="103">
        <v>510880</v>
      </c>
      <c r="C29" s="12" t="s">
        <v>1040</v>
      </c>
      <c r="D29" s="12">
        <v>2.629</v>
      </c>
      <c r="E29" s="12">
        <v>3800</v>
      </c>
      <c r="F29" s="12">
        <v>9990.2000000000007</v>
      </c>
      <c r="G29" s="12">
        <v>5</v>
      </c>
      <c r="I29" s="9">
        <v>42705</v>
      </c>
      <c r="J29" s="2">
        <f>J28+F32+G32</f>
        <v>192775.4</v>
      </c>
      <c r="K29">
        <v>220955</v>
      </c>
      <c r="L29">
        <f>INT((J29-J28)/M28)+L28</f>
        <v>147704</v>
      </c>
      <c r="M29" s="13">
        <f>K29/L29</f>
        <v>1.4959310512917727</v>
      </c>
      <c r="N29" s="2"/>
    </row>
    <row r="30" spans="1:20" x14ac:dyDescent="0.25">
      <c r="A30" s="9">
        <v>42644</v>
      </c>
      <c r="B30" s="103">
        <v>510880</v>
      </c>
      <c r="C30" s="12" t="s">
        <v>1040</v>
      </c>
      <c r="D30" s="12">
        <v>2.597</v>
      </c>
      <c r="E30" s="12">
        <v>3900</v>
      </c>
      <c r="F30" s="12">
        <v>10128.299999999999</v>
      </c>
      <c r="G30" s="12">
        <v>5</v>
      </c>
      <c r="I30" s="109">
        <v>42736</v>
      </c>
      <c r="J30" s="2">
        <f>J29+F33+G33</f>
        <v>202811.1</v>
      </c>
      <c r="K30">
        <v>240946</v>
      </c>
      <c r="L30">
        <f>INT((J30-J29)/M29)+L29</f>
        <v>154412</v>
      </c>
      <c r="M30" s="13">
        <f>K30/L30</f>
        <v>1.5604098127088568</v>
      </c>
      <c r="N30" s="2"/>
    </row>
    <row r="31" spans="1:20" x14ac:dyDescent="0.25">
      <c r="A31" s="9">
        <v>42675</v>
      </c>
      <c r="B31" s="103">
        <v>510880</v>
      </c>
      <c r="C31" s="12" t="s">
        <v>1040</v>
      </c>
      <c r="D31" s="12">
        <v>2.6840000000000002</v>
      </c>
      <c r="E31" s="12">
        <v>3700</v>
      </c>
      <c r="F31" s="8">
        <f>D31*E31</f>
        <v>9930.8000000000011</v>
      </c>
      <c r="G31" s="8">
        <v>5</v>
      </c>
      <c r="N31" s="2"/>
    </row>
    <row r="32" spans="1:20" x14ac:dyDescent="0.25">
      <c r="A32" s="9">
        <v>42705</v>
      </c>
      <c r="B32" s="103">
        <v>510880</v>
      </c>
      <c r="C32" s="12" t="s">
        <v>1040</v>
      </c>
      <c r="D32" s="8">
        <v>2.786</v>
      </c>
      <c r="E32" s="8">
        <v>3600</v>
      </c>
      <c r="F32" s="8">
        <f>D32*E32</f>
        <v>10029.6</v>
      </c>
      <c r="G32" s="8">
        <v>5</v>
      </c>
      <c r="N32" s="2"/>
    </row>
    <row r="33" spans="1:23" x14ac:dyDescent="0.25">
      <c r="A33" s="9">
        <v>42736</v>
      </c>
      <c r="B33" s="103">
        <v>510880</v>
      </c>
      <c r="C33" s="12" t="s">
        <v>1040</v>
      </c>
      <c r="D33" s="12">
        <v>2.7109999999999999</v>
      </c>
      <c r="E33" s="12">
        <v>3700</v>
      </c>
      <c r="F33" s="12">
        <v>10030.700000000001</v>
      </c>
      <c r="G33" s="8">
        <v>5</v>
      </c>
    </row>
    <row r="34" spans="1:23" x14ac:dyDescent="0.25">
      <c r="A34" s="9">
        <v>42736</v>
      </c>
      <c r="B34" s="103">
        <v>510880</v>
      </c>
      <c r="C34" s="12" t="s">
        <v>1040</v>
      </c>
      <c r="D34" s="8">
        <v>2.6680000000000001</v>
      </c>
      <c r="E34" s="12">
        <v>1800</v>
      </c>
      <c r="F34" s="110">
        <v>0</v>
      </c>
      <c r="G34" s="8">
        <v>5</v>
      </c>
    </row>
    <row r="35" spans="1:23" x14ac:dyDescent="0.25">
      <c r="A35" s="9">
        <v>42767</v>
      </c>
      <c r="B35" s="103">
        <v>510880</v>
      </c>
      <c r="C35" s="12" t="s">
        <v>1040</v>
      </c>
      <c r="D35" s="8">
        <v>2.673</v>
      </c>
      <c r="E35" s="8">
        <v>3700</v>
      </c>
      <c r="F35" s="24">
        <f>D35*E35</f>
        <v>9890.1</v>
      </c>
      <c r="G35" s="8">
        <v>5</v>
      </c>
    </row>
    <row r="36" spans="1:23" x14ac:dyDescent="0.25">
      <c r="A36" s="9">
        <v>42795</v>
      </c>
      <c r="B36" s="103">
        <v>510880</v>
      </c>
      <c r="C36" s="12" t="s">
        <v>1040</v>
      </c>
      <c r="D36" s="12">
        <v>2.7130000000000001</v>
      </c>
      <c r="E36" s="12">
        <v>3600</v>
      </c>
      <c r="F36" s="24">
        <v>9766.7999999999993</v>
      </c>
      <c r="G36" s="12">
        <v>5</v>
      </c>
      <c r="I36" s="88"/>
    </row>
    <row r="37" spans="1:23" x14ac:dyDescent="0.25">
      <c r="A37" s="9">
        <v>42826</v>
      </c>
      <c r="B37" s="103">
        <v>510880</v>
      </c>
      <c r="C37" s="12" t="s">
        <v>1040</v>
      </c>
      <c r="D37" s="12">
        <v>2.7810000000000001</v>
      </c>
      <c r="E37" s="12">
        <v>3600</v>
      </c>
      <c r="F37" s="28">
        <v>1011.6</v>
      </c>
      <c r="G37" s="12">
        <v>5</v>
      </c>
    </row>
    <row r="38" spans="1:23" x14ac:dyDescent="0.25">
      <c r="A38" s="9">
        <v>42856</v>
      </c>
      <c r="B38" s="103">
        <v>510880</v>
      </c>
      <c r="C38" s="12" t="s">
        <v>1040</v>
      </c>
      <c r="D38" s="12">
        <v>2.6869999999999998</v>
      </c>
      <c r="E38" s="12">
        <v>3800</v>
      </c>
      <c r="F38" s="12">
        <v>10210.6</v>
      </c>
      <c r="G38" s="12">
        <v>5</v>
      </c>
    </row>
    <row r="39" spans="1:23" x14ac:dyDescent="0.25">
      <c r="A39" s="9">
        <v>42887</v>
      </c>
      <c r="B39" s="103">
        <v>510880</v>
      </c>
      <c r="C39" s="12" t="s">
        <v>1040</v>
      </c>
      <c r="D39" s="12">
        <v>2.8149999999999999</v>
      </c>
      <c r="E39" s="12">
        <v>3500</v>
      </c>
      <c r="F39" s="28">
        <v>9852.5</v>
      </c>
      <c r="G39" s="12">
        <v>5</v>
      </c>
    </row>
    <row r="40" spans="1:23" x14ac:dyDescent="0.25">
      <c r="A40" s="9">
        <v>42917</v>
      </c>
      <c r="B40" s="103">
        <v>510880</v>
      </c>
      <c r="C40" s="12" t="s">
        <v>1040</v>
      </c>
      <c r="D40" s="12">
        <v>2.93</v>
      </c>
      <c r="E40" s="12">
        <v>3500</v>
      </c>
      <c r="F40" s="28">
        <v>10255</v>
      </c>
      <c r="G40" s="12">
        <v>5</v>
      </c>
    </row>
    <row r="41" spans="1:23" x14ac:dyDescent="0.25">
      <c r="A41" s="9">
        <v>42948</v>
      </c>
      <c r="B41" s="103">
        <v>510880</v>
      </c>
      <c r="C41" s="12" t="s">
        <v>1040</v>
      </c>
      <c r="D41" s="12">
        <v>2.9380000000000002</v>
      </c>
      <c r="E41" s="12">
        <v>3400</v>
      </c>
      <c r="F41" s="28">
        <v>9989.2000000000007</v>
      </c>
      <c r="G41" s="12">
        <v>5</v>
      </c>
    </row>
    <row r="42" spans="1:23" x14ac:dyDescent="0.25">
      <c r="A42" s="111" t="s">
        <v>1039</v>
      </c>
      <c r="B42" s="112">
        <v>510880</v>
      </c>
      <c r="C42" s="113" t="s">
        <v>1040</v>
      </c>
      <c r="D42" s="114"/>
      <c r="E42" s="114">
        <v>45600</v>
      </c>
      <c r="K42" s="88" t="s">
        <v>1041</v>
      </c>
      <c r="S42" s="88" t="s">
        <v>1042</v>
      </c>
    </row>
    <row r="43" spans="1:23" x14ac:dyDescent="0.25">
      <c r="A43" s="115" t="s">
        <v>1043</v>
      </c>
      <c r="B43" s="116" t="s">
        <v>1044</v>
      </c>
      <c r="C43" s="117" t="s">
        <v>1045</v>
      </c>
      <c r="D43" s="117" t="s">
        <v>1046</v>
      </c>
      <c r="E43" s="117" t="s">
        <v>1047</v>
      </c>
      <c r="F43" s="117" t="s">
        <v>1048</v>
      </c>
      <c r="G43" s="117" t="s">
        <v>1049</v>
      </c>
      <c r="I43" s="115" t="s">
        <v>1043</v>
      </c>
      <c r="J43" s="116" t="s">
        <v>1044</v>
      </c>
      <c r="K43" s="117" t="s">
        <v>1045</v>
      </c>
      <c r="L43" s="117" t="s">
        <v>1046</v>
      </c>
      <c r="M43" s="117" t="s">
        <v>1047</v>
      </c>
      <c r="N43" s="117" t="s">
        <v>1048</v>
      </c>
      <c r="O43" s="117" t="s">
        <v>1049</v>
      </c>
      <c r="Q43" s="115" t="s">
        <v>1043</v>
      </c>
      <c r="R43" s="116" t="s">
        <v>1044</v>
      </c>
      <c r="S43" s="117" t="s">
        <v>1045</v>
      </c>
      <c r="T43" s="117" t="s">
        <v>1046</v>
      </c>
      <c r="U43" s="117" t="s">
        <v>1047</v>
      </c>
      <c r="V43" s="117" t="s">
        <v>1048</v>
      </c>
      <c r="W43" s="117" t="s">
        <v>1049</v>
      </c>
    </row>
    <row r="44" spans="1:23" x14ac:dyDescent="0.25">
      <c r="A44" s="118">
        <v>42979</v>
      </c>
      <c r="B44" s="104" t="s">
        <v>1050</v>
      </c>
      <c r="C44" s="119" t="s">
        <v>1051</v>
      </c>
      <c r="D44" s="12">
        <v>1.994</v>
      </c>
      <c r="E44" s="12">
        <v>5009.03</v>
      </c>
      <c r="F44" s="119">
        <v>10000</v>
      </c>
      <c r="G44" s="12">
        <v>11.99</v>
      </c>
      <c r="I44" s="118">
        <v>43017</v>
      </c>
      <c r="J44" s="104" t="s">
        <v>1050</v>
      </c>
      <c r="K44" s="119" t="s">
        <v>1051</v>
      </c>
      <c r="L44" s="12">
        <v>2.0070000000000001</v>
      </c>
      <c r="M44" s="12">
        <v>2971</v>
      </c>
      <c r="N44" s="119">
        <v>5970</v>
      </c>
      <c r="O44" s="12">
        <v>7.16</v>
      </c>
      <c r="Q44" s="118">
        <v>43017</v>
      </c>
      <c r="R44" s="104" t="s">
        <v>1050</v>
      </c>
      <c r="S44" s="119" t="s">
        <v>1051</v>
      </c>
      <c r="T44" s="12">
        <v>2.0110000000000001</v>
      </c>
      <c r="U44" s="12">
        <v>3263</v>
      </c>
      <c r="V44" s="119">
        <v>6570</v>
      </c>
      <c r="W44" s="12">
        <v>7.89</v>
      </c>
    </row>
    <row r="45" spans="1:23" x14ac:dyDescent="0.25">
      <c r="A45" s="118">
        <v>43010</v>
      </c>
      <c r="B45" s="104" t="s">
        <v>1054</v>
      </c>
      <c r="C45" s="119" t="s">
        <v>1055</v>
      </c>
      <c r="D45" s="12">
        <v>2.0070000000000001</v>
      </c>
      <c r="E45" s="12">
        <v>4976.58</v>
      </c>
      <c r="F45" s="119">
        <v>10000</v>
      </c>
      <c r="G45" s="12">
        <v>11.99</v>
      </c>
      <c r="I45" s="24"/>
      <c r="J45" s="120"/>
      <c r="K45" s="24"/>
      <c r="L45" s="24"/>
      <c r="M45" s="24"/>
      <c r="N45" s="24"/>
      <c r="O45" s="24"/>
      <c r="Q45" s="24"/>
      <c r="R45" s="120"/>
      <c r="S45" s="24"/>
      <c r="T45" s="24"/>
      <c r="U45" s="24"/>
      <c r="V45" s="24"/>
      <c r="W45" s="24"/>
    </row>
    <row r="46" spans="1:23" x14ac:dyDescent="0.25">
      <c r="A46" s="24"/>
      <c r="B46" s="120"/>
      <c r="C46" s="24"/>
      <c r="D46" s="24"/>
      <c r="E46" s="24"/>
      <c r="F46" s="24"/>
      <c r="G46" s="24"/>
      <c r="I46" s="24"/>
      <c r="J46" s="120"/>
      <c r="K46" s="24"/>
      <c r="L46" s="24"/>
      <c r="M46" s="24"/>
      <c r="N46" s="24"/>
      <c r="O46" s="24"/>
      <c r="Q46" s="24"/>
      <c r="R46" s="120"/>
      <c r="S46" s="24"/>
      <c r="T46" s="24"/>
      <c r="U46" s="24"/>
      <c r="V46" s="24"/>
      <c r="W46" s="24"/>
    </row>
    <row r="47" spans="1:23" x14ac:dyDescent="0.25">
      <c r="A47" s="24"/>
      <c r="B47" s="120"/>
      <c r="C47" s="24"/>
      <c r="D47" s="24"/>
      <c r="E47" s="24"/>
      <c r="F47" s="24"/>
      <c r="G47" s="24"/>
      <c r="I47" s="24"/>
      <c r="J47" s="120"/>
      <c r="K47" s="24"/>
      <c r="L47" s="24"/>
      <c r="M47" s="24"/>
      <c r="N47" s="24"/>
      <c r="O47" s="24"/>
      <c r="Q47" s="24"/>
      <c r="R47" s="120"/>
      <c r="S47" s="24"/>
      <c r="T47" s="24"/>
      <c r="U47" s="24"/>
      <c r="V47" s="24"/>
      <c r="W47" s="24"/>
    </row>
    <row r="48" spans="1:23" x14ac:dyDescent="0.25">
      <c r="A48" s="24"/>
      <c r="B48" s="120"/>
      <c r="C48" s="24"/>
      <c r="D48" s="24"/>
      <c r="E48" s="24"/>
      <c r="F48" s="24"/>
      <c r="G48" s="24"/>
      <c r="I48" s="24"/>
      <c r="J48" s="120"/>
      <c r="K48" s="24"/>
      <c r="L48" s="24"/>
      <c r="M48" s="24"/>
      <c r="N48" s="24"/>
      <c r="O48" s="24"/>
      <c r="Q48" s="24"/>
      <c r="R48" s="120"/>
      <c r="S48" s="24"/>
      <c r="T48" s="24"/>
      <c r="U48" s="24"/>
      <c r="V48" s="24"/>
      <c r="W48" s="24"/>
    </row>
    <row r="49" spans="1:23" x14ac:dyDescent="0.25">
      <c r="A49" s="24"/>
      <c r="B49" s="120"/>
      <c r="C49" s="24"/>
      <c r="D49" s="24"/>
      <c r="E49" s="24"/>
      <c r="F49" s="24"/>
      <c r="G49" s="24"/>
      <c r="I49" s="24"/>
      <c r="J49" s="120"/>
      <c r="K49" s="24"/>
      <c r="L49" s="24"/>
      <c r="M49" s="24"/>
      <c r="N49" s="24"/>
      <c r="O49" s="24"/>
      <c r="Q49" s="24"/>
      <c r="R49" s="120"/>
      <c r="S49" s="24"/>
      <c r="T49" s="24"/>
      <c r="U49" s="24"/>
      <c r="V49" s="24"/>
      <c r="W49" s="24"/>
    </row>
    <row r="50" spans="1:23" x14ac:dyDescent="0.25">
      <c r="A50" s="24"/>
      <c r="B50" s="120"/>
      <c r="C50" s="24"/>
      <c r="D50" s="24"/>
      <c r="E50" s="24"/>
      <c r="F50" s="24"/>
      <c r="G50" s="24"/>
      <c r="I50" s="24"/>
      <c r="J50" s="120"/>
      <c r="K50" s="24"/>
      <c r="L50" s="24"/>
      <c r="M50" s="24"/>
      <c r="N50" s="24"/>
      <c r="O50" s="24"/>
      <c r="Q50" s="24"/>
      <c r="R50" s="120"/>
      <c r="S50" s="24"/>
      <c r="T50" s="24"/>
      <c r="U50" s="24"/>
      <c r="V50" s="24"/>
      <c r="W50" s="24"/>
    </row>
    <row r="51" spans="1:23" x14ac:dyDescent="0.25">
      <c r="A51" s="24"/>
      <c r="B51" s="120"/>
      <c r="C51" s="24"/>
      <c r="D51" s="24"/>
      <c r="E51" s="24"/>
      <c r="F51" s="24"/>
      <c r="G51" s="24"/>
      <c r="I51" s="24"/>
      <c r="J51" s="120"/>
      <c r="K51" s="24"/>
      <c r="L51" s="24"/>
      <c r="M51" s="24"/>
      <c r="N51" s="24"/>
      <c r="O51" s="24"/>
      <c r="Q51" s="24"/>
      <c r="R51" s="120"/>
      <c r="S51" s="24"/>
      <c r="T51" s="24"/>
      <c r="U51" s="24"/>
      <c r="V51" s="24"/>
      <c r="W51" s="24"/>
    </row>
    <row r="52" spans="1:23" x14ac:dyDescent="0.25">
      <c r="A52" s="24"/>
      <c r="B52" s="120"/>
      <c r="C52" s="24"/>
      <c r="D52" s="24"/>
      <c r="E52" s="24"/>
      <c r="F52" s="24"/>
      <c r="G52" s="24"/>
      <c r="I52" s="24"/>
      <c r="J52" s="120"/>
      <c r="K52" s="24"/>
      <c r="L52" s="24"/>
      <c r="M52" s="24"/>
      <c r="N52" s="24"/>
      <c r="O52" s="24"/>
      <c r="Q52" s="24"/>
      <c r="R52" s="120"/>
      <c r="S52" s="24"/>
      <c r="T52" s="24"/>
      <c r="U52" s="24"/>
      <c r="V52" s="24"/>
      <c r="W52" s="24"/>
    </row>
    <row r="53" spans="1:23" x14ac:dyDescent="0.25">
      <c r="A53" s="24"/>
      <c r="B53" s="120"/>
      <c r="C53" s="24"/>
      <c r="D53" s="24"/>
      <c r="E53" s="24"/>
      <c r="F53" s="24"/>
      <c r="G53" s="24"/>
      <c r="I53" s="24"/>
      <c r="J53" s="120"/>
      <c r="K53" s="24"/>
      <c r="L53" s="24"/>
      <c r="M53" s="24"/>
      <c r="N53" s="24"/>
      <c r="O53" s="24"/>
      <c r="Q53" s="24"/>
      <c r="R53" s="120"/>
      <c r="S53" s="24"/>
      <c r="T53" s="24"/>
      <c r="U53" s="24"/>
      <c r="V53" s="24"/>
      <c r="W53" s="24"/>
    </row>
    <row r="54" spans="1:23" x14ac:dyDescent="0.25">
      <c r="A54" s="24"/>
      <c r="B54" s="120"/>
      <c r="C54" s="24"/>
      <c r="D54" s="24"/>
      <c r="E54" s="24"/>
      <c r="F54" s="24"/>
      <c r="G54" s="24"/>
      <c r="I54" s="24"/>
      <c r="J54" s="120"/>
      <c r="K54" s="24"/>
      <c r="L54" s="24"/>
      <c r="M54" s="24"/>
      <c r="N54" s="24"/>
      <c r="O54" s="24"/>
      <c r="Q54" s="24"/>
      <c r="R54" s="120"/>
      <c r="S54" s="24"/>
      <c r="T54" s="24"/>
      <c r="U54" s="24"/>
      <c r="V54" s="24"/>
      <c r="W54" s="24"/>
    </row>
    <row r="55" spans="1:23" x14ac:dyDescent="0.25">
      <c r="A55" s="24"/>
      <c r="B55" s="120"/>
      <c r="C55" s="24"/>
      <c r="D55" s="24"/>
      <c r="E55" s="24"/>
      <c r="F55" s="24"/>
      <c r="G55" s="24"/>
      <c r="I55" s="24"/>
      <c r="J55" s="120"/>
      <c r="K55" s="24"/>
      <c r="L55" s="24"/>
      <c r="M55" s="24"/>
      <c r="N55" s="24"/>
      <c r="O55" s="24"/>
      <c r="Q55" s="24"/>
      <c r="R55" s="120"/>
      <c r="S55" s="24"/>
      <c r="T55" s="24"/>
      <c r="U55" s="24"/>
      <c r="V55" s="24"/>
      <c r="W55" s="24"/>
    </row>
    <row r="56" spans="1:23" x14ac:dyDescent="0.25">
      <c r="A56" s="24"/>
      <c r="B56" s="120"/>
      <c r="C56" s="24"/>
      <c r="D56" s="24"/>
      <c r="E56" s="24"/>
      <c r="F56" s="24"/>
      <c r="G56" s="24"/>
      <c r="I56" s="24"/>
      <c r="J56" s="120"/>
      <c r="K56" s="24"/>
      <c r="L56" s="24"/>
      <c r="M56" s="24"/>
      <c r="N56" s="24"/>
      <c r="O56" s="24"/>
      <c r="Q56" s="24"/>
      <c r="R56" s="120"/>
      <c r="S56" s="24"/>
      <c r="T56" s="24"/>
      <c r="U56" s="24"/>
      <c r="V56" s="24"/>
      <c r="W56" s="24"/>
    </row>
    <row r="57" spans="1:23" x14ac:dyDescent="0.25">
      <c r="A57" s="24"/>
      <c r="B57" s="120"/>
      <c r="C57" s="24"/>
      <c r="D57" s="24"/>
      <c r="E57" s="24"/>
      <c r="F57" s="24"/>
      <c r="G57" s="24"/>
      <c r="I57" s="24"/>
      <c r="J57" s="120"/>
      <c r="K57" s="24"/>
      <c r="L57" s="24"/>
      <c r="M57" s="24"/>
      <c r="N57" s="24"/>
      <c r="O57" s="24"/>
      <c r="Q57" s="24"/>
      <c r="R57" s="120"/>
      <c r="S57" s="24"/>
      <c r="T57" s="24"/>
      <c r="U57" s="24"/>
      <c r="V57" s="24"/>
      <c r="W57" s="24"/>
    </row>
    <row r="58" spans="1:23" x14ac:dyDescent="0.25">
      <c r="A58" s="24"/>
      <c r="B58" s="120"/>
      <c r="C58" s="24"/>
      <c r="D58" s="24"/>
      <c r="E58" s="24"/>
      <c r="F58" s="24"/>
      <c r="G58" s="24"/>
      <c r="I58" s="24"/>
      <c r="J58" s="120"/>
      <c r="K58" s="24"/>
      <c r="L58" s="24"/>
      <c r="M58" s="24"/>
      <c r="N58" s="24"/>
      <c r="O58" s="24"/>
      <c r="Q58" s="24"/>
      <c r="R58" s="120"/>
      <c r="S58" s="24"/>
      <c r="T58" s="24"/>
      <c r="U58" s="24"/>
      <c r="V58" s="24"/>
      <c r="W58" s="24"/>
    </row>
    <row r="59" spans="1:23" x14ac:dyDescent="0.25">
      <c r="A59" s="24"/>
      <c r="B59" s="120"/>
      <c r="C59" s="24"/>
      <c r="D59" s="24"/>
      <c r="E59" s="24"/>
      <c r="F59" s="24"/>
      <c r="G59" s="24"/>
      <c r="I59" s="24"/>
      <c r="J59" s="120"/>
      <c r="K59" s="24"/>
      <c r="L59" s="24"/>
      <c r="M59" s="24"/>
      <c r="N59" s="24"/>
      <c r="O59" s="24"/>
      <c r="Q59" s="24"/>
      <c r="R59" s="120"/>
      <c r="S59" s="24"/>
      <c r="T59" s="24"/>
      <c r="U59" s="24"/>
      <c r="V59" s="24"/>
      <c r="W59" s="24"/>
    </row>
    <row r="60" spans="1:23" x14ac:dyDescent="0.25">
      <c r="A60" s="24"/>
      <c r="B60" s="120"/>
      <c r="C60" s="24"/>
      <c r="D60" s="24"/>
      <c r="E60" s="24"/>
      <c r="F60" s="24"/>
      <c r="G60" s="24"/>
      <c r="I60" s="24"/>
      <c r="J60" s="120"/>
      <c r="K60" s="24"/>
      <c r="L60" s="24"/>
      <c r="M60" s="24"/>
      <c r="N60" s="24"/>
      <c r="O60" s="24"/>
      <c r="Q60" s="24"/>
      <c r="R60" s="120"/>
      <c r="S60" s="24"/>
      <c r="T60" s="24"/>
      <c r="U60" s="24"/>
      <c r="V60" s="24"/>
      <c r="W60" s="24"/>
    </row>
  </sheetData>
  <customSheetViews>
    <customSheetView guid="{1E41C6D1-1FF2-4EDC-93A7-39FD0856DDAE}" topLeftCell="A10">
      <selection activeCell="B51" sqref="B51"/>
      <pageMargins left="0.7" right="0.7" top="0.75" bottom="0.75" header="0.3" footer="0.3"/>
      <pageSetup paperSize="9" orientation="portrait" r:id="rId1"/>
    </customSheetView>
    <customSheetView guid="{2C754312-9D31-43A1-8D1D-F4080D321E7F}" topLeftCell="A19">
      <selection activeCell="P50" sqref="P50"/>
      <pageMargins left="0.7" right="0.7" top="0.75" bottom="0.75" header="0.3" footer="0.3"/>
      <pageSetup paperSize="9" orientation="portrait" r:id="rId2"/>
    </customSheetView>
  </customSheetViews>
  <phoneticPr fontId="3" type="noConversion"/>
  <pageMargins left="0.7" right="0.7" top="0.75" bottom="0.75" header="0.3" footer="0.3"/>
  <pageSetup paperSize="9" orientation="portrait" r:id="rId3"/>
  <legacyDrawing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T290"/>
  <sheetViews>
    <sheetView topLeftCell="A82" workbookViewId="0">
      <selection activeCell="R239" sqref="R239"/>
    </sheetView>
  </sheetViews>
  <sheetFormatPr defaultColWidth="9" defaultRowHeight="15.6" x14ac:dyDescent="0.25"/>
  <cols>
    <col min="1" max="1" width="9" style="51"/>
    <col min="2" max="2" width="10.8984375" style="51" customWidth="1"/>
    <col min="3" max="3" width="25.59765625" style="51" customWidth="1"/>
    <col min="4" max="16384" width="9" style="51"/>
  </cols>
  <sheetData>
    <row r="1" spans="1:20" ht="53.4" thickBot="1" x14ac:dyDescent="0.3">
      <c r="A1" s="50" t="s">
        <v>322</v>
      </c>
      <c r="B1" s="50" t="s">
        <v>323</v>
      </c>
      <c r="C1" s="50" t="s">
        <v>324</v>
      </c>
      <c r="D1" s="50" t="s">
        <v>325</v>
      </c>
      <c r="T1" s="74" t="s">
        <v>910</v>
      </c>
    </row>
    <row r="2" spans="1:20" ht="16.2" thickBot="1" x14ac:dyDescent="0.3">
      <c r="A2" s="52" t="s">
        <v>326</v>
      </c>
      <c r="B2" s="52" t="s">
        <v>327</v>
      </c>
      <c r="C2" s="52" t="s">
        <v>328</v>
      </c>
      <c r="D2" s="52" t="s">
        <v>329</v>
      </c>
      <c r="F2" s="51" t="e">
        <f t="shared" ref="F2:F33" si="0">VLOOKUP(B2,K2:S102,8,FALSE)</f>
        <v>#N/A</v>
      </c>
      <c r="J2" s="53">
        <v>600664</v>
      </c>
      <c r="K2" s="54" t="s">
        <v>330</v>
      </c>
      <c r="L2" s="54">
        <v>8.4</v>
      </c>
      <c r="M2" s="55">
        <v>9.5999999999999992E-3</v>
      </c>
      <c r="N2" s="54">
        <v>8029.8</v>
      </c>
      <c r="O2" s="54">
        <v>209.39</v>
      </c>
      <c r="P2" s="54">
        <v>2.8180000000000001</v>
      </c>
      <c r="Q2" s="54">
        <v>35.877000000000002</v>
      </c>
      <c r="R2" s="56">
        <v>9.1499999999999998E-2</v>
      </c>
      <c r="S2" s="56">
        <v>9.1499999999999998E-2</v>
      </c>
      <c r="T2" s="51">
        <v>2</v>
      </c>
    </row>
    <row r="3" spans="1:20" ht="16.2" thickBot="1" x14ac:dyDescent="0.3">
      <c r="A3" s="52" t="s">
        <v>331</v>
      </c>
      <c r="B3" s="52" t="s">
        <v>332</v>
      </c>
      <c r="C3" s="52" t="s">
        <v>333</v>
      </c>
      <c r="D3" s="52" t="s">
        <v>329</v>
      </c>
      <c r="F3" s="51" t="e">
        <f t="shared" si="0"/>
        <v>#N/A</v>
      </c>
      <c r="I3" s="57">
        <v>2</v>
      </c>
      <c r="J3" s="53">
        <v>651</v>
      </c>
      <c r="K3" s="54" t="s">
        <v>150</v>
      </c>
      <c r="L3" s="54">
        <v>19.22</v>
      </c>
      <c r="M3" s="58">
        <v>0</v>
      </c>
      <c r="N3" s="54">
        <v>0</v>
      </c>
      <c r="O3" s="54">
        <v>0</v>
      </c>
      <c r="P3" s="54">
        <v>2.7749999999999999</v>
      </c>
      <c r="Q3" s="54">
        <v>8.75</v>
      </c>
      <c r="R3" s="56">
        <v>7.8E-2</v>
      </c>
      <c r="S3" s="56">
        <v>7.8E-2</v>
      </c>
      <c r="T3" s="51">
        <v>3</v>
      </c>
    </row>
    <row r="4" spans="1:20" ht="16.2" thickBot="1" x14ac:dyDescent="0.3">
      <c r="A4" s="52" t="s">
        <v>334</v>
      </c>
      <c r="B4" s="52" t="s">
        <v>335</v>
      </c>
      <c r="C4" s="52" t="s">
        <v>336</v>
      </c>
      <c r="D4" s="52" t="s">
        <v>329</v>
      </c>
      <c r="F4" s="51">
        <f t="shared" si="0"/>
        <v>2.8500000000000001E-2</v>
      </c>
      <c r="I4" s="57">
        <v>3</v>
      </c>
      <c r="J4" s="53">
        <v>600252</v>
      </c>
      <c r="K4" s="54" t="s">
        <v>337</v>
      </c>
      <c r="L4" s="54">
        <v>4.58</v>
      </c>
      <c r="M4" s="59">
        <v>-8.6999999999999994E-3</v>
      </c>
      <c r="N4" s="54">
        <v>22401.01</v>
      </c>
      <c r="O4" s="54">
        <v>159.16</v>
      </c>
      <c r="P4" s="54">
        <v>3.16</v>
      </c>
      <c r="Q4" s="54">
        <v>36.213999999999999</v>
      </c>
      <c r="R4" s="56">
        <v>7.0999999999999994E-2</v>
      </c>
      <c r="S4" s="56">
        <v>6.7199999999999996E-2</v>
      </c>
      <c r="T4" s="51">
        <v>2</v>
      </c>
    </row>
    <row r="5" spans="1:20" ht="16.2" thickBot="1" x14ac:dyDescent="0.3">
      <c r="A5" s="52" t="s">
        <v>338</v>
      </c>
      <c r="B5" s="52" t="s">
        <v>339</v>
      </c>
      <c r="C5" s="52" t="s">
        <v>340</v>
      </c>
      <c r="D5" s="52" t="s">
        <v>329</v>
      </c>
      <c r="F5" s="51" t="e">
        <f t="shared" si="0"/>
        <v>#N/A</v>
      </c>
      <c r="I5" s="57">
        <v>4</v>
      </c>
      <c r="J5" s="53">
        <v>601006</v>
      </c>
      <c r="K5" s="54" t="s">
        <v>341</v>
      </c>
      <c r="L5" s="54">
        <v>6.45</v>
      </c>
      <c r="M5" s="55">
        <v>1.6000000000000001E-3</v>
      </c>
      <c r="N5" s="54">
        <v>20480.3</v>
      </c>
      <c r="O5" s="54">
        <v>958.91</v>
      </c>
      <c r="P5" s="54">
        <v>1.135</v>
      </c>
      <c r="Q5" s="54">
        <v>8.7279999999999998</v>
      </c>
      <c r="R5" s="56">
        <v>6.9800000000000001E-2</v>
      </c>
      <c r="S5" s="56">
        <v>7.4399999999999994E-2</v>
      </c>
      <c r="T5" s="51">
        <v>1</v>
      </c>
    </row>
    <row r="6" spans="1:20" ht="16.2" thickBot="1" x14ac:dyDescent="0.3">
      <c r="A6" s="52" t="s">
        <v>342</v>
      </c>
      <c r="B6" s="52" t="s">
        <v>343</v>
      </c>
      <c r="C6" s="52" t="s">
        <v>344</v>
      </c>
      <c r="D6" s="52" t="s">
        <v>329</v>
      </c>
      <c r="F6" s="51" t="e">
        <f t="shared" si="0"/>
        <v>#N/A</v>
      </c>
      <c r="I6" s="57">
        <v>5</v>
      </c>
      <c r="J6" s="53">
        <v>600066</v>
      </c>
      <c r="K6" s="54" t="s">
        <v>345</v>
      </c>
      <c r="L6" s="54">
        <v>22.05</v>
      </c>
      <c r="M6" s="59">
        <v>-5.4000000000000003E-3</v>
      </c>
      <c r="N6" s="54">
        <v>18136.63</v>
      </c>
      <c r="O6" s="54">
        <v>488.17</v>
      </c>
      <c r="P6" s="54">
        <v>4.9219999999999997</v>
      </c>
      <c r="Q6" s="54">
        <v>13.789</v>
      </c>
      <c r="R6" s="56">
        <v>6.8000000000000005E-2</v>
      </c>
      <c r="S6" s="56">
        <v>3.0200000000000001E-2</v>
      </c>
    </row>
    <row r="7" spans="1:20" ht="16.2" thickBot="1" x14ac:dyDescent="0.3">
      <c r="A7" s="52" t="s">
        <v>346</v>
      </c>
      <c r="B7" s="52" t="s">
        <v>347</v>
      </c>
      <c r="C7" s="52" t="s">
        <v>348</v>
      </c>
      <c r="D7" s="52" t="s">
        <v>329</v>
      </c>
      <c r="F7" s="51">
        <f t="shared" si="0"/>
        <v>2.87E-2</v>
      </c>
      <c r="I7" s="57">
        <v>6</v>
      </c>
      <c r="J7" s="53">
        <v>600469</v>
      </c>
      <c r="K7" s="54" t="s">
        <v>349</v>
      </c>
      <c r="L7" s="54">
        <v>10.17</v>
      </c>
      <c r="M7" s="55">
        <v>1E-3</v>
      </c>
      <c r="N7" s="54">
        <v>4398</v>
      </c>
      <c r="O7" s="54">
        <v>57.2</v>
      </c>
      <c r="P7" s="54">
        <v>2.1560000000000001</v>
      </c>
      <c r="Q7" s="54">
        <v>22.291</v>
      </c>
      <c r="R7" s="56">
        <v>6.5600000000000006E-2</v>
      </c>
      <c r="S7" s="56">
        <v>9.7999999999999997E-3</v>
      </c>
    </row>
    <row r="8" spans="1:20" ht="16.2" thickBot="1" x14ac:dyDescent="0.3">
      <c r="A8" s="52" t="s">
        <v>350</v>
      </c>
      <c r="B8" s="52" t="s">
        <v>351</v>
      </c>
      <c r="C8" s="52" t="s">
        <v>352</v>
      </c>
      <c r="D8" s="52" t="s">
        <v>329</v>
      </c>
      <c r="F8" s="51">
        <f t="shared" si="0"/>
        <v>2.92E-2</v>
      </c>
      <c r="I8" s="57">
        <v>7</v>
      </c>
      <c r="J8" s="53">
        <v>600011</v>
      </c>
      <c r="K8" s="54" t="s">
        <v>353</v>
      </c>
      <c r="L8" s="54">
        <v>7.31</v>
      </c>
      <c r="M8" s="59">
        <v>-1.4E-3</v>
      </c>
      <c r="N8" s="54">
        <v>6012.4</v>
      </c>
      <c r="O8" s="54">
        <v>963.84</v>
      </c>
      <c r="P8" s="54">
        <v>1.397</v>
      </c>
      <c r="Q8" s="54">
        <v>10.083</v>
      </c>
      <c r="R8" s="56">
        <v>6.0999999999999999E-2</v>
      </c>
      <c r="S8" s="56">
        <v>4.9399999999999999E-2</v>
      </c>
    </row>
    <row r="9" spans="1:20" ht="16.2" thickBot="1" x14ac:dyDescent="0.3">
      <c r="A9" s="52" t="s">
        <v>354</v>
      </c>
      <c r="B9" s="60" t="s">
        <v>355</v>
      </c>
      <c r="C9" s="52" t="s">
        <v>356</v>
      </c>
      <c r="D9" s="52" t="s">
        <v>329</v>
      </c>
      <c r="F9" s="51">
        <f t="shared" si="0"/>
        <v>3.27E-2</v>
      </c>
      <c r="I9" s="57">
        <v>8</v>
      </c>
      <c r="J9" s="53">
        <v>2545</v>
      </c>
      <c r="K9" s="54" t="s">
        <v>357</v>
      </c>
      <c r="L9" s="54">
        <v>9.64</v>
      </c>
      <c r="M9" s="55">
        <v>3.0999999999999999E-3</v>
      </c>
      <c r="N9" s="54">
        <v>5118.2700000000004</v>
      </c>
      <c r="O9" s="54">
        <v>75.260000000000005</v>
      </c>
      <c r="P9" s="54">
        <v>2.9129999999999998</v>
      </c>
      <c r="Q9" s="54">
        <v>89.977999999999994</v>
      </c>
      <c r="R9" s="56">
        <v>5.8099999999999999E-2</v>
      </c>
      <c r="S9" s="56">
        <v>5.3600000000000002E-2</v>
      </c>
    </row>
    <row r="10" spans="1:20" ht="16.2" thickBot="1" x14ac:dyDescent="0.3">
      <c r="A10" s="52" t="s">
        <v>358</v>
      </c>
      <c r="B10" s="52" t="s">
        <v>359</v>
      </c>
      <c r="C10" s="52" t="s">
        <v>360</v>
      </c>
      <c r="D10" s="52" t="s">
        <v>329</v>
      </c>
      <c r="F10" s="51">
        <f t="shared" si="0"/>
        <v>4.2799999999999998E-2</v>
      </c>
      <c r="I10" s="57">
        <v>9</v>
      </c>
      <c r="J10" s="53">
        <v>600104</v>
      </c>
      <c r="K10" s="54" t="s">
        <v>361</v>
      </c>
      <c r="L10" s="54">
        <v>23.53</v>
      </c>
      <c r="M10" s="55">
        <v>8.9999999999999993E-3</v>
      </c>
      <c r="N10" s="54">
        <v>44842.31</v>
      </c>
      <c r="O10" s="54">
        <v>2594.3200000000002</v>
      </c>
      <c r="P10" s="54">
        <v>1.5369999999999999</v>
      </c>
      <c r="Q10" s="54">
        <v>8.5730000000000004</v>
      </c>
      <c r="R10" s="56">
        <v>5.7799999999999997E-2</v>
      </c>
      <c r="S10" s="56">
        <v>5.5300000000000002E-2</v>
      </c>
    </row>
    <row r="11" spans="1:20" ht="16.2" thickBot="1" x14ac:dyDescent="0.3">
      <c r="A11" s="52" t="s">
        <v>362</v>
      </c>
      <c r="B11" s="52" t="s">
        <v>363</v>
      </c>
      <c r="C11" s="52" t="s">
        <v>364</v>
      </c>
      <c r="D11" s="52" t="s">
        <v>329</v>
      </c>
      <c r="F11" s="51" t="e">
        <f t="shared" si="0"/>
        <v>#N/A</v>
      </c>
      <c r="I11" s="57">
        <v>10</v>
      </c>
      <c r="J11" s="53">
        <v>600027</v>
      </c>
      <c r="K11" s="54" t="s">
        <v>365</v>
      </c>
      <c r="L11" s="54">
        <v>5.45</v>
      </c>
      <c r="M11" s="58">
        <v>0</v>
      </c>
      <c r="N11" s="54">
        <v>9055.9699999999993</v>
      </c>
      <c r="O11" s="54">
        <v>499.08</v>
      </c>
      <c r="P11" s="54">
        <v>1.3089999999999999</v>
      </c>
      <c r="Q11" s="54">
        <v>6.9669999999999996</v>
      </c>
      <c r="R11" s="56">
        <v>5.5E-2</v>
      </c>
      <c r="S11" s="56">
        <v>4.4200000000000003E-2</v>
      </c>
    </row>
    <row r="12" spans="1:20" ht="16.2" thickBot="1" x14ac:dyDescent="0.3">
      <c r="A12" s="52" t="s">
        <v>366</v>
      </c>
      <c r="B12" s="52" t="s">
        <v>367</v>
      </c>
      <c r="C12" s="52" t="s">
        <v>368</v>
      </c>
      <c r="D12" s="52" t="s">
        <v>329</v>
      </c>
      <c r="F12" s="51">
        <f t="shared" si="0"/>
        <v>3.8399999999999997E-2</v>
      </c>
      <c r="I12" s="57">
        <v>11</v>
      </c>
      <c r="J12" s="53">
        <v>601288</v>
      </c>
      <c r="K12" s="54" t="s">
        <v>369</v>
      </c>
      <c r="L12" s="54">
        <v>3.18</v>
      </c>
      <c r="M12" s="58">
        <v>0</v>
      </c>
      <c r="N12" s="54">
        <v>19329</v>
      </c>
      <c r="O12" s="54">
        <v>10164.719999999999</v>
      </c>
      <c r="P12" s="54">
        <v>0.85499999999999998</v>
      </c>
      <c r="Q12" s="54">
        <v>5.702</v>
      </c>
      <c r="R12" s="56">
        <v>5.2499999999999998E-2</v>
      </c>
      <c r="S12" s="56">
        <v>5.7200000000000001E-2</v>
      </c>
    </row>
    <row r="13" spans="1:20" ht="16.2" thickBot="1" x14ac:dyDescent="0.3">
      <c r="A13" s="52" t="s">
        <v>370</v>
      </c>
      <c r="B13" s="52" t="s">
        <v>155</v>
      </c>
      <c r="C13" s="52" t="s">
        <v>371</v>
      </c>
      <c r="D13" s="52" t="s">
        <v>329</v>
      </c>
      <c r="F13" s="51">
        <f t="shared" si="0"/>
        <v>5.11E-2</v>
      </c>
      <c r="I13" s="57">
        <v>12</v>
      </c>
      <c r="J13" s="53">
        <v>601398</v>
      </c>
      <c r="K13" s="54" t="s">
        <v>372</v>
      </c>
      <c r="L13" s="54">
        <v>4.4400000000000004</v>
      </c>
      <c r="M13" s="55">
        <v>2.3E-3</v>
      </c>
      <c r="N13" s="54">
        <v>34196.93</v>
      </c>
      <c r="O13" s="54">
        <v>15610.09</v>
      </c>
      <c r="P13" s="54">
        <v>0.93100000000000005</v>
      </c>
      <c r="Q13" s="54">
        <v>5.7009999999999996</v>
      </c>
      <c r="R13" s="56">
        <v>5.2499999999999998E-2</v>
      </c>
      <c r="S13" s="56">
        <v>5.7000000000000002E-2</v>
      </c>
    </row>
    <row r="14" spans="1:20" ht="16.2" thickBot="1" x14ac:dyDescent="0.3">
      <c r="A14" s="52" t="s">
        <v>373</v>
      </c>
      <c r="B14" s="52" t="s">
        <v>374</v>
      </c>
      <c r="C14" s="52" t="s">
        <v>375</v>
      </c>
      <c r="D14" s="52" t="s">
        <v>329</v>
      </c>
      <c r="F14" s="51">
        <f t="shared" si="0"/>
        <v>4.7100000000000003E-2</v>
      </c>
      <c r="I14" s="57">
        <v>13</v>
      </c>
      <c r="J14" s="53">
        <v>601939</v>
      </c>
      <c r="K14" s="54" t="s">
        <v>376</v>
      </c>
      <c r="L14" s="54">
        <v>5.27</v>
      </c>
      <c r="M14" s="55">
        <v>1.9E-3</v>
      </c>
      <c r="N14" s="54">
        <v>28354.53</v>
      </c>
      <c r="O14" s="54">
        <v>12311</v>
      </c>
      <c r="P14" s="54">
        <v>0.92100000000000004</v>
      </c>
      <c r="Q14" s="54">
        <v>5.7510000000000003</v>
      </c>
      <c r="R14" s="56">
        <v>5.1999999999999998E-2</v>
      </c>
      <c r="S14" s="56">
        <v>5.7099999999999998E-2</v>
      </c>
    </row>
    <row r="15" spans="1:20" ht="16.2" thickBot="1" x14ac:dyDescent="0.3">
      <c r="A15" s="52" t="s">
        <v>377</v>
      </c>
      <c r="B15" s="52" t="s">
        <v>150</v>
      </c>
      <c r="C15" s="52" t="s">
        <v>378</v>
      </c>
      <c r="D15" s="52" t="s">
        <v>329</v>
      </c>
      <c r="F15" s="51" t="e">
        <f t="shared" si="0"/>
        <v>#N/A</v>
      </c>
      <c r="I15" s="57">
        <v>14</v>
      </c>
      <c r="J15" s="53">
        <v>600182</v>
      </c>
      <c r="K15" s="54" t="s">
        <v>379</v>
      </c>
      <c r="L15" s="54">
        <v>18.54</v>
      </c>
      <c r="M15" s="58">
        <v>0</v>
      </c>
      <c r="N15" s="54">
        <v>0</v>
      </c>
      <c r="O15" s="54">
        <v>0</v>
      </c>
      <c r="P15" s="54">
        <v>7.51</v>
      </c>
      <c r="Q15" s="54">
        <v>31.742000000000001</v>
      </c>
      <c r="R15" s="56">
        <v>5.1200000000000002E-2</v>
      </c>
      <c r="S15" s="56">
        <v>3.2399999999999998E-2</v>
      </c>
    </row>
    <row r="16" spans="1:20" ht="16.2" thickBot="1" x14ac:dyDescent="0.3">
      <c r="A16" s="52" t="s">
        <v>380</v>
      </c>
      <c r="B16" s="52" t="s">
        <v>381</v>
      </c>
      <c r="C16" s="52" t="s">
        <v>382</v>
      </c>
      <c r="D16" s="52" t="s">
        <v>329</v>
      </c>
      <c r="F16" s="51" t="e">
        <f t="shared" si="0"/>
        <v>#N/A</v>
      </c>
      <c r="I16" s="57">
        <v>15</v>
      </c>
      <c r="J16" s="53">
        <v>568</v>
      </c>
      <c r="K16" s="54" t="s">
        <v>155</v>
      </c>
      <c r="L16" s="54">
        <v>31.29</v>
      </c>
      <c r="M16" s="59">
        <v>-9.7999999999999997E-3</v>
      </c>
      <c r="N16" s="54">
        <v>19905.21</v>
      </c>
      <c r="O16" s="54">
        <v>438.76</v>
      </c>
      <c r="P16" s="54">
        <v>4.5179999999999998</v>
      </c>
      <c r="Q16" s="54">
        <v>28.733000000000001</v>
      </c>
      <c r="R16" s="56">
        <v>5.11E-2</v>
      </c>
      <c r="S16" s="56">
        <v>2.5600000000000001E-2</v>
      </c>
    </row>
    <row r="17" spans="1:19" ht="16.2" thickBot="1" x14ac:dyDescent="0.3">
      <c r="A17" s="52" t="s">
        <v>383</v>
      </c>
      <c r="B17" s="52" t="s">
        <v>384</v>
      </c>
      <c r="C17" s="52" t="s">
        <v>385</v>
      </c>
      <c r="D17" s="52" t="s">
        <v>329</v>
      </c>
      <c r="F17" s="51" t="e">
        <f t="shared" si="0"/>
        <v>#N/A</v>
      </c>
      <c r="I17" s="57">
        <v>16</v>
      </c>
      <c r="J17" s="53">
        <v>601988</v>
      </c>
      <c r="K17" s="54" t="s">
        <v>262</v>
      </c>
      <c r="L17" s="54">
        <v>3.43</v>
      </c>
      <c r="M17" s="55">
        <v>2.8999999999999998E-3</v>
      </c>
      <c r="N17" s="54">
        <v>28967.58</v>
      </c>
      <c r="O17" s="54">
        <v>9692.9599999999991</v>
      </c>
      <c r="P17" s="54">
        <v>0.84399999999999997</v>
      </c>
      <c r="Q17" s="54">
        <v>5.883</v>
      </c>
      <c r="R17" s="56">
        <v>5.0999999999999997E-2</v>
      </c>
      <c r="S17" s="56">
        <v>5.4199999999999998E-2</v>
      </c>
    </row>
    <row r="18" spans="1:19" ht="16.2" thickBot="1" x14ac:dyDescent="0.3">
      <c r="A18" s="52" t="s">
        <v>386</v>
      </c>
      <c r="B18" s="52" t="s">
        <v>387</v>
      </c>
      <c r="C18" s="52" t="s">
        <v>388</v>
      </c>
      <c r="D18" s="52" t="s">
        <v>329</v>
      </c>
      <c r="F18" s="51" t="e">
        <f t="shared" si="0"/>
        <v>#N/A</v>
      </c>
      <c r="I18" s="57">
        <v>17</v>
      </c>
      <c r="J18" s="53">
        <v>895</v>
      </c>
      <c r="K18" s="54" t="s">
        <v>248</v>
      </c>
      <c r="L18" s="54">
        <v>24.67</v>
      </c>
      <c r="M18" s="59">
        <v>-4.7999999999999996E-3</v>
      </c>
      <c r="N18" s="54">
        <v>24459.84</v>
      </c>
      <c r="O18" s="54">
        <v>814.32</v>
      </c>
      <c r="P18" s="54">
        <v>5.4729999999999999</v>
      </c>
      <c r="Q18" s="54">
        <v>18.405999999999999</v>
      </c>
      <c r="R18" s="56">
        <v>5.0700000000000002E-2</v>
      </c>
      <c r="S18" s="56">
        <v>3.8399999999999997E-2</v>
      </c>
    </row>
    <row r="19" spans="1:19" ht="16.2" thickBot="1" x14ac:dyDescent="0.3">
      <c r="A19" s="52" t="s">
        <v>389</v>
      </c>
      <c r="B19" s="52" t="s">
        <v>390</v>
      </c>
      <c r="C19" s="52" t="s">
        <v>391</v>
      </c>
      <c r="D19" s="52" t="s">
        <v>329</v>
      </c>
      <c r="F19" s="51">
        <f t="shared" si="0"/>
        <v>2.92E-2</v>
      </c>
      <c r="I19" s="57">
        <v>18</v>
      </c>
      <c r="J19" s="53">
        <v>2489</v>
      </c>
      <c r="K19" s="54" t="s">
        <v>392</v>
      </c>
      <c r="L19" s="54">
        <v>7.54</v>
      </c>
      <c r="M19" s="59">
        <v>-6.6E-3</v>
      </c>
      <c r="N19" s="54">
        <v>12836.44</v>
      </c>
      <c r="O19" s="54">
        <v>164.05</v>
      </c>
      <c r="P19" s="54">
        <v>4.8780000000000001</v>
      </c>
      <c r="Q19" s="54">
        <v>35.893999999999998</v>
      </c>
      <c r="R19" s="56">
        <v>5.04E-2</v>
      </c>
      <c r="S19" s="56">
        <v>2.7900000000000001E-2</v>
      </c>
    </row>
    <row r="20" spans="1:19" ht="16.2" thickBot="1" x14ac:dyDescent="0.3">
      <c r="A20" s="52" t="s">
        <v>393</v>
      </c>
      <c r="B20" s="52" t="s">
        <v>248</v>
      </c>
      <c r="C20" s="52" t="s">
        <v>394</v>
      </c>
      <c r="D20" s="52" t="s">
        <v>329</v>
      </c>
      <c r="F20" s="51" t="e">
        <f t="shared" si="0"/>
        <v>#N/A</v>
      </c>
      <c r="I20" s="57">
        <v>19</v>
      </c>
      <c r="J20" s="53">
        <v>600894</v>
      </c>
      <c r="K20" s="54" t="s">
        <v>395</v>
      </c>
      <c r="L20" s="54">
        <v>14.94</v>
      </c>
      <c r="M20" s="59">
        <v>-2.7000000000000001E-3</v>
      </c>
      <c r="N20" s="54">
        <v>8913.51</v>
      </c>
      <c r="O20" s="54">
        <v>128.47999999999999</v>
      </c>
      <c r="P20" s="54">
        <v>2.181</v>
      </c>
      <c r="Q20" s="54">
        <v>5.9829999999999997</v>
      </c>
      <c r="R20" s="56">
        <v>5.0200000000000002E-2</v>
      </c>
      <c r="S20" s="56">
        <v>6.7000000000000002E-3</v>
      </c>
    </row>
    <row r="21" spans="1:19" ht="16.2" thickBot="1" x14ac:dyDescent="0.3">
      <c r="A21" s="52" t="s">
        <v>396</v>
      </c>
      <c r="B21" s="52" t="s">
        <v>397</v>
      </c>
      <c r="C21" s="52" t="s">
        <v>398</v>
      </c>
      <c r="D21" s="52" t="s">
        <v>329</v>
      </c>
      <c r="F21" s="51" t="e">
        <f t="shared" si="0"/>
        <v>#N/A</v>
      </c>
      <c r="I21" s="57">
        <v>20</v>
      </c>
      <c r="J21" s="53">
        <v>600023</v>
      </c>
      <c r="K21" s="54" t="s">
        <v>399</v>
      </c>
      <c r="L21" s="54">
        <v>5.44</v>
      </c>
      <c r="M21" s="59">
        <v>-7.3000000000000001E-3</v>
      </c>
      <c r="N21" s="54">
        <v>23349.82</v>
      </c>
      <c r="O21" s="54">
        <v>739.88</v>
      </c>
      <c r="P21" s="54">
        <v>1.329</v>
      </c>
      <c r="Q21" s="54">
        <v>10.231</v>
      </c>
      <c r="R21" s="56">
        <v>4.9599999999999998E-2</v>
      </c>
      <c r="S21" s="56">
        <v>4.0099999999999997E-2</v>
      </c>
    </row>
    <row r="22" spans="1:19" ht="16.2" thickBot="1" x14ac:dyDescent="0.3">
      <c r="A22" s="52" t="s">
        <v>400</v>
      </c>
      <c r="B22" s="52" t="s">
        <v>401</v>
      </c>
      <c r="C22" s="52" t="s">
        <v>402</v>
      </c>
      <c r="D22" s="52" t="s">
        <v>329</v>
      </c>
      <c r="F22" s="51" t="e">
        <f t="shared" si="0"/>
        <v>#N/A</v>
      </c>
      <c r="I22" s="57">
        <v>21</v>
      </c>
      <c r="J22" s="53">
        <v>600</v>
      </c>
      <c r="K22" s="54" t="s">
        <v>374</v>
      </c>
      <c r="L22" s="54">
        <v>9.56</v>
      </c>
      <c r="M22" s="59">
        <v>-1E-3</v>
      </c>
      <c r="N22" s="54">
        <v>8024.33</v>
      </c>
      <c r="O22" s="54">
        <v>171.28</v>
      </c>
      <c r="P22" s="54">
        <v>1.5669999999999999</v>
      </c>
      <c r="Q22" s="54">
        <v>8.1379999999999999</v>
      </c>
      <c r="R22" s="56">
        <v>4.7100000000000003E-2</v>
      </c>
      <c r="S22" s="56">
        <v>2.6200000000000001E-2</v>
      </c>
    </row>
    <row r="23" spans="1:19" ht="16.2" thickBot="1" x14ac:dyDescent="0.3">
      <c r="A23" s="52" t="s">
        <v>403</v>
      </c>
      <c r="B23" s="52" t="s">
        <v>404</v>
      </c>
      <c r="C23" s="52" t="s">
        <v>405</v>
      </c>
      <c r="D23" s="52" t="s">
        <v>329</v>
      </c>
      <c r="F23" s="51">
        <f t="shared" si="0"/>
        <v>3.1899999999999998E-2</v>
      </c>
      <c r="I23" s="57">
        <v>22</v>
      </c>
      <c r="J23" s="53">
        <v>601818</v>
      </c>
      <c r="K23" s="54" t="s">
        <v>406</v>
      </c>
      <c r="L23" s="54">
        <v>4.05</v>
      </c>
      <c r="M23" s="55">
        <v>2.5000000000000001E-3</v>
      </c>
      <c r="N23" s="54">
        <v>17254.7</v>
      </c>
      <c r="O23" s="54">
        <v>1832.29</v>
      </c>
      <c r="P23" s="54">
        <v>0.84599999999999997</v>
      </c>
      <c r="Q23" s="54">
        <v>6.383</v>
      </c>
      <c r="R23" s="56">
        <v>4.6899999999999997E-2</v>
      </c>
      <c r="S23" s="56">
        <v>4.5900000000000003E-2</v>
      </c>
    </row>
    <row r="24" spans="1:19" ht="16.2" thickBot="1" x14ac:dyDescent="0.3">
      <c r="A24" s="52" t="s">
        <v>407</v>
      </c>
      <c r="B24" s="52" t="s">
        <v>408</v>
      </c>
      <c r="C24" s="52" t="s">
        <v>409</v>
      </c>
      <c r="D24" s="52" t="s">
        <v>329</v>
      </c>
      <c r="F24" s="51">
        <f t="shared" si="0"/>
        <v>2.7699999999999999E-2</v>
      </c>
      <c r="I24" s="57">
        <v>23</v>
      </c>
      <c r="J24" s="53">
        <v>601328</v>
      </c>
      <c r="K24" s="54" t="s">
        <v>410</v>
      </c>
      <c r="L24" s="54">
        <v>5.78</v>
      </c>
      <c r="M24" s="59">
        <v>-5.1999999999999998E-3</v>
      </c>
      <c r="N24" s="54">
        <v>26928.35</v>
      </c>
      <c r="O24" s="54">
        <v>3969.98</v>
      </c>
      <c r="P24" s="54">
        <v>0.80400000000000005</v>
      </c>
      <c r="Q24" s="54">
        <v>6.4429999999999996</v>
      </c>
      <c r="R24" s="56">
        <v>4.6699999999999998E-2</v>
      </c>
      <c r="S24" s="56">
        <v>4.6699999999999998E-2</v>
      </c>
    </row>
    <row r="25" spans="1:19" ht="16.2" thickBot="1" x14ac:dyDescent="0.3">
      <c r="A25" s="52" t="s">
        <v>411</v>
      </c>
      <c r="B25" s="52" t="s">
        <v>412</v>
      </c>
      <c r="C25" s="52" t="s">
        <v>413</v>
      </c>
      <c r="D25" s="52" t="s">
        <v>329</v>
      </c>
      <c r="F25" s="51" t="e">
        <f t="shared" si="0"/>
        <v>#N/A</v>
      </c>
      <c r="I25" s="57">
        <v>24</v>
      </c>
      <c r="J25" s="53">
        <v>600578</v>
      </c>
      <c r="K25" s="54" t="s">
        <v>414</v>
      </c>
      <c r="L25" s="54">
        <v>4.37</v>
      </c>
      <c r="M25" s="59">
        <v>-4.5999999999999999E-3</v>
      </c>
      <c r="N25" s="54">
        <v>5277.87</v>
      </c>
      <c r="O25" s="54">
        <v>201.78</v>
      </c>
      <c r="P25" s="54">
        <v>1.31</v>
      </c>
      <c r="Q25" s="54">
        <v>10.077</v>
      </c>
      <c r="R25" s="56">
        <v>4.58E-2</v>
      </c>
      <c r="S25" s="56">
        <v>4.58E-2</v>
      </c>
    </row>
    <row r="26" spans="1:19" ht="16.2" thickBot="1" x14ac:dyDescent="0.3">
      <c r="A26" s="52" t="s">
        <v>415</v>
      </c>
      <c r="B26" s="52" t="s">
        <v>416</v>
      </c>
      <c r="C26" s="52" t="s">
        <v>417</v>
      </c>
      <c r="D26" s="52" t="s">
        <v>329</v>
      </c>
      <c r="F26" s="51" t="e">
        <f t="shared" si="0"/>
        <v>#N/A</v>
      </c>
      <c r="I26" s="57">
        <v>25</v>
      </c>
      <c r="J26" s="53">
        <v>600361</v>
      </c>
      <c r="K26" s="54" t="s">
        <v>418</v>
      </c>
      <c r="L26" s="54">
        <v>6.56</v>
      </c>
      <c r="M26" s="59">
        <v>-4.5999999999999999E-3</v>
      </c>
      <c r="N26" s="54">
        <v>4997.8</v>
      </c>
      <c r="O26" s="54">
        <v>43.68</v>
      </c>
      <c r="P26" s="54">
        <v>1.544</v>
      </c>
      <c r="Q26" s="54">
        <v>-32.284999999999997</v>
      </c>
      <c r="R26" s="56">
        <v>4.5699999999999998E-2</v>
      </c>
      <c r="S26" s="56">
        <v>1.52E-2</v>
      </c>
    </row>
    <row r="27" spans="1:19" ht="16.2" thickBot="1" x14ac:dyDescent="0.3">
      <c r="A27" s="52" t="s">
        <v>419</v>
      </c>
      <c r="B27" s="52" t="s">
        <v>420</v>
      </c>
      <c r="C27" s="52" t="s">
        <v>421</v>
      </c>
      <c r="D27" s="52" t="s">
        <v>329</v>
      </c>
      <c r="F27" s="51">
        <f t="shared" si="0"/>
        <v>3.39E-2</v>
      </c>
      <c r="I27" s="57">
        <v>26</v>
      </c>
      <c r="J27" s="53">
        <v>600177</v>
      </c>
      <c r="K27" s="54" t="s">
        <v>422</v>
      </c>
      <c r="L27" s="54">
        <v>15.57</v>
      </c>
      <c r="M27" s="59">
        <v>-8.3000000000000001E-3</v>
      </c>
      <c r="N27" s="54">
        <v>30233.63</v>
      </c>
      <c r="O27" s="54">
        <v>398.31</v>
      </c>
      <c r="P27" s="54">
        <v>1.7330000000000001</v>
      </c>
      <c r="Q27" s="54">
        <v>7.3339999999999996</v>
      </c>
      <c r="R27" s="56">
        <v>4.4699999999999997E-2</v>
      </c>
      <c r="S27" s="56">
        <v>2.7900000000000001E-2</v>
      </c>
    </row>
    <row r="28" spans="1:19" ht="16.2" thickBot="1" x14ac:dyDescent="0.3">
      <c r="A28" s="52" t="s">
        <v>423</v>
      </c>
      <c r="B28" s="52" t="s">
        <v>424</v>
      </c>
      <c r="C28" s="52" t="s">
        <v>425</v>
      </c>
      <c r="D28" s="52" t="s">
        <v>329</v>
      </c>
      <c r="F28" s="51" t="e">
        <f t="shared" si="0"/>
        <v>#N/A</v>
      </c>
      <c r="I28" s="57">
        <v>27</v>
      </c>
      <c r="J28" s="53">
        <v>601515</v>
      </c>
      <c r="K28" s="54" t="s">
        <v>426</v>
      </c>
      <c r="L28" s="54">
        <v>12.21</v>
      </c>
      <c r="M28" s="59">
        <v>-9.7000000000000003E-3</v>
      </c>
      <c r="N28" s="54">
        <v>3716.87</v>
      </c>
      <c r="O28" s="54">
        <v>135.78</v>
      </c>
      <c r="P28" s="54">
        <v>4.2530000000000001</v>
      </c>
      <c r="Q28" s="54">
        <v>19.106999999999999</v>
      </c>
      <c r="R28" s="56">
        <v>4.4200000000000003E-2</v>
      </c>
      <c r="S28" s="56">
        <v>1.9699999999999999E-2</v>
      </c>
    </row>
    <row r="29" spans="1:19" ht="16.2" thickBot="1" x14ac:dyDescent="0.3">
      <c r="A29" s="52" t="s">
        <v>427</v>
      </c>
      <c r="B29" s="52" t="s">
        <v>428</v>
      </c>
      <c r="C29" s="52" t="s">
        <v>429</v>
      </c>
      <c r="D29" s="52" t="s">
        <v>329</v>
      </c>
      <c r="F29" s="51" t="e">
        <f t="shared" si="0"/>
        <v>#N/A</v>
      </c>
      <c r="I29" s="57">
        <v>28</v>
      </c>
      <c r="J29" s="53">
        <v>600660</v>
      </c>
      <c r="K29" s="54" t="s">
        <v>430</v>
      </c>
      <c r="L29" s="54">
        <v>16.98</v>
      </c>
      <c r="M29" s="59">
        <v>-9.9000000000000008E-3</v>
      </c>
      <c r="N29" s="54">
        <v>13862.43</v>
      </c>
      <c r="O29" s="54">
        <v>435.53</v>
      </c>
      <c r="P29" s="54">
        <v>2.8159999999999998</v>
      </c>
      <c r="Q29" s="54">
        <v>16.326000000000001</v>
      </c>
      <c r="R29" s="56">
        <v>4.4200000000000003E-2</v>
      </c>
      <c r="S29" s="56">
        <v>3.5299999999999998E-2</v>
      </c>
    </row>
    <row r="30" spans="1:19" ht="16.2" thickBot="1" x14ac:dyDescent="0.3">
      <c r="A30" s="52" t="s">
        <v>431</v>
      </c>
      <c r="B30" s="52" t="s">
        <v>432</v>
      </c>
      <c r="C30" s="52" t="s">
        <v>433</v>
      </c>
      <c r="D30" s="52" t="s">
        <v>329</v>
      </c>
      <c r="F30" s="51">
        <f t="shared" si="0"/>
        <v>3.7699999999999997E-2</v>
      </c>
      <c r="I30" s="57">
        <v>29</v>
      </c>
      <c r="J30" s="53">
        <v>600377</v>
      </c>
      <c r="K30" s="54" t="s">
        <v>434</v>
      </c>
      <c r="L30" s="54">
        <v>9.2200000000000006</v>
      </c>
      <c r="M30" s="59">
        <v>-1.1000000000000001E-3</v>
      </c>
      <c r="N30" s="54">
        <v>2712.57</v>
      </c>
      <c r="O30" s="54">
        <v>468.27</v>
      </c>
      <c r="P30" s="54">
        <v>2.4169999999999998</v>
      </c>
      <c r="Q30" s="54">
        <v>18.077000000000002</v>
      </c>
      <c r="R30" s="56">
        <v>4.3400000000000001E-2</v>
      </c>
      <c r="S30" s="56">
        <v>4.1200000000000001E-2</v>
      </c>
    </row>
    <row r="31" spans="1:19" ht="16.2" thickBot="1" x14ac:dyDescent="0.3">
      <c r="A31" s="52" t="s">
        <v>435</v>
      </c>
      <c r="B31" s="52" t="s">
        <v>392</v>
      </c>
      <c r="C31" s="52" t="s">
        <v>436</v>
      </c>
      <c r="D31" s="52" t="s">
        <v>329</v>
      </c>
      <c r="F31" s="51" t="e">
        <f t="shared" si="0"/>
        <v>#N/A</v>
      </c>
      <c r="I31" s="61">
        <v>30</v>
      </c>
      <c r="J31" s="62">
        <v>539</v>
      </c>
      <c r="K31" s="63" t="s">
        <v>359</v>
      </c>
      <c r="L31" s="63">
        <v>5.37</v>
      </c>
      <c r="M31" s="64">
        <v>-5.5999999999999999E-3</v>
      </c>
      <c r="N31" s="63">
        <v>4168.33</v>
      </c>
      <c r="O31" s="63">
        <v>263.29000000000002</v>
      </c>
      <c r="P31" s="63">
        <v>1.2490000000000001</v>
      </c>
      <c r="Q31" s="63">
        <v>10.887</v>
      </c>
      <c r="R31" s="65">
        <v>4.2799999999999998E-2</v>
      </c>
      <c r="S31" s="65">
        <v>3.1099999999999999E-2</v>
      </c>
    </row>
    <row r="32" spans="1:19" ht="16.2" thickBot="1" x14ac:dyDescent="0.3">
      <c r="A32" s="52" t="s">
        <v>437</v>
      </c>
      <c r="B32" s="52" t="s">
        <v>438</v>
      </c>
      <c r="C32" s="52" t="s">
        <v>439</v>
      </c>
      <c r="D32" s="52" t="s">
        <v>329</v>
      </c>
      <c r="F32" s="51" t="e">
        <f t="shared" si="0"/>
        <v>#N/A</v>
      </c>
      <c r="I32" s="57">
        <v>31</v>
      </c>
      <c r="J32" s="53">
        <v>726</v>
      </c>
      <c r="K32" s="54" t="s">
        <v>440</v>
      </c>
      <c r="L32" s="54">
        <v>11.72</v>
      </c>
      <c r="M32" s="55">
        <v>2.5999999999999999E-3</v>
      </c>
      <c r="N32" s="54">
        <v>3233.75</v>
      </c>
      <c r="O32" s="54">
        <v>98.51</v>
      </c>
      <c r="P32" s="54">
        <v>1.75</v>
      </c>
      <c r="Q32" s="54">
        <v>15.782</v>
      </c>
      <c r="R32" s="56">
        <v>4.2700000000000002E-2</v>
      </c>
      <c r="S32" s="56">
        <v>4.2700000000000002E-2</v>
      </c>
    </row>
    <row r="33" spans="1:19" ht="16.2" thickBot="1" x14ac:dyDescent="0.3">
      <c r="A33" s="52" t="s">
        <v>441</v>
      </c>
      <c r="B33" s="52" t="s">
        <v>442</v>
      </c>
      <c r="C33" s="52" t="s">
        <v>443</v>
      </c>
      <c r="D33" s="52" t="s">
        <v>444</v>
      </c>
      <c r="F33" s="51">
        <f t="shared" si="0"/>
        <v>2.7E-2</v>
      </c>
      <c r="I33" s="57">
        <v>32</v>
      </c>
      <c r="J33" s="53">
        <v>2568</v>
      </c>
      <c r="K33" s="54" t="s">
        <v>445</v>
      </c>
      <c r="L33" s="54">
        <v>23.54</v>
      </c>
      <c r="M33" s="55">
        <v>2.0999999999999999E-3</v>
      </c>
      <c r="N33" s="54">
        <v>14237.84</v>
      </c>
      <c r="O33" s="54">
        <v>210.92</v>
      </c>
      <c r="P33" s="54">
        <v>24.771000000000001</v>
      </c>
      <c r="Q33" s="54">
        <v>-81.902000000000001</v>
      </c>
      <c r="R33" s="56">
        <v>4.2500000000000003E-2</v>
      </c>
      <c r="S33" s="56">
        <v>7.6E-3</v>
      </c>
    </row>
    <row r="34" spans="1:19" ht="16.2" thickBot="1" x14ac:dyDescent="0.3">
      <c r="A34" s="52" t="s">
        <v>446</v>
      </c>
      <c r="B34" s="52" t="s">
        <v>447</v>
      </c>
      <c r="C34" s="52" t="s">
        <v>448</v>
      </c>
      <c r="D34" s="52" t="s">
        <v>444</v>
      </c>
      <c r="F34" s="51" t="e">
        <f t="shared" ref="F34:F65" si="1">VLOOKUP(B34,K34:S134,8,FALSE)</f>
        <v>#N/A</v>
      </c>
      <c r="I34" s="57">
        <v>33</v>
      </c>
      <c r="J34" s="53">
        <v>600999</v>
      </c>
      <c r="K34" s="54" t="s">
        <v>449</v>
      </c>
      <c r="L34" s="54">
        <v>18.23</v>
      </c>
      <c r="M34" s="59">
        <v>-1.03E-2</v>
      </c>
      <c r="N34" s="54">
        <v>40351.760000000002</v>
      </c>
      <c r="O34" s="54">
        <v>1058.82</v>
      </c>
      <c r="P34" s="54">
        <v>2.2709999999999999</v>
      </c>
      <c r="Q34" s="54">
        <v>11.441000000000001</v>
      </c>
      <c r="R34" s="56">
        <v>4.1200000000000001E-2</v>
      </c>
      <c r="S34" s="56">
        <v>4.2200000000000001E-2</v>
      </c>
    </row>
    <row r="35" spans="1:19" ht="16.2" thickBot="1" x14ac:dyDescent="0.3">
      <c r="A35" s="52" t="s">
        <v>450</v>
      </c>
      <c r="B35" s="52" t="s">
        <v>451</v>
      </c>
      <c r="C35" s="52" t="s">
        <v>452</v>
      </c>
      <c r="D35" s="52" t="s">
        <v>444</v>
      </c>
      <c r="F35" s="51" t="e">
        <f t="shared" si="1"/>
        <v>#N/A</v>
      </c>
      <c r="I35" s="57">
        <v>34</v>
      </c>
      <c r="J35" s="53">
        <v>2419</v>
      </c>
      <c r="K35" s="54" t="s">
        <v>453</v>
      </c>
      <c r="L35" s="54">
        <v>13.39</v>
      </c>
      <c r="M35" s="59">
        <v>-6.7000000000000002E-3</v>
      </c>
      <c r="N35" s="54">
        <v>6544.84</v>
      </c>
      <c r="O35" s="54">
        <v>107.15</v>
      </c>
      <c r="P35" s="54">
        <v>2.04</v>
      </c>
      <c r="Q35" s="54">
        <v>8.6880000000000006</v>
      </c>
      <c r="R35" s="56">
        <v>4.1099999999999998E-2</v>
      </c>
      <c r="S35" s="56">
        <v>2.5000000000000001E-2</v>
      </c>
    </row>
    <row r="36" spans="1:19" ht="16.2" thickBot="1" x14ac:dyDescent="0.3">
      <c r="A36" s="52" t="s">
        <v>454</v>
      </c>
      <c r="B36" s="52" t="s">
        <v>455</v>
      </c>
      <c r="C36" s="52" t="s">
        <v>456</v>
      </c>
      <c r="D36" s="52" t="s">
        <v>444</v>
      </c>
      <c r="F36" s="51">
        <f t="shared" si="1"/>
        <v>2.7699999999999999E-2</v>
      </c>
      <c r="I36" s="57">
        <v>35</v>
      </c>
      <c r="J36" s="53">
        <v>600741</v>
      </c>
      <c r="K36" s="54" t="s">
        <v>457</v>
      </c>
      <c r="L36" s="54">
        <v>16.25</v>
      </c>
      <c r="M36" s="59">
        <v>-8.5000000000000006E-3</v>
      </c>
      <c r="N36" s="54">
        <v>14236.75</v>
      </c>
      <c r="O36" s="54">
        <v>512.32000000000005</v>
      </c>
      <c r="P36" s="54">
        <v>1.534</v>
      </c>
      <c r="Q36" s="54">
        <v>10.393000000000001</v>
      </c>
      <c r="R36" s="56">
        <v>4.0899999999999999E-2</v>
      </c>
      <c r="S36" s="56">
        <v>2.6200000000000001E-2</v>
      </c>
    </row>
    <row r="37" spans="1:19" ht="16.2" thickBot="1" x14ac:dyDescent="0.3">
      <c r="A37" s="52" t="s">
        <v>458</v>
      </c>
      <c r="B37" s="52" t="s">
        <v>353</v>
      </c>
      <c r="C37" s="52" t="s">
        <v>459</v>
      </c>
      <c r="D37" s="52" t="s">
        <v>444</v>
      </c>
      <c r="F37" s="51" t="e">
        <f t="shared" si="1"/>
        <v>#N/A</v>
      </c>
      <c r="I37" s="57">
        <v>36</v>
      </c>
      <c r="J37" s="53">
        <v>625</v>
      </c>
      <c r="K37" s="54" t="s">
        <v>460</v>
      </c>
      <c r="L37" s="54">
        <v>16.059999999999999</v>
      </c>
      <c r="M37" s="59">
        <v>-1.35E-2</v>
      </c>
      <c r="N37" s="54">
        <v>35575.5</v>
      </c>
      <c r="O37" s="54">
        <v>697.05</v>
      </c>
      <c r="P37" s="54">
        <v>2.2000000000000002</v>
      </c>
      <c r="Q37" s="54">
        <v>7.3920000000000003</v>
      </c>
      <c r="R37" s="56">
        <v>3.9800000000000002E-2</v>
      </c>
      <c r="S37" s="56">
        <v>1.5599999999999999E-2</v>
      </c>
    </row>
    <row r="38" spans="1:19" ht="16.2" thickBot="1" x14ac:dyDescent="0.3">
      <c r="A38" s="52" t="s">
        <v>461</v>
      </c>
      <c r="B38" s="52" t="s">
        <v>462</v>
      </c>
      <c r="C38" s="52" t="s">
        <v>463</v>
      </c>
      <c r="D38" s="52" t="s">
        <v>444</v>
      </c>
      <c r="F38" s="51" t="e">
        <f t="shared" si="1"/>
        <v>#N/A</v>
      </c>
      <c r="I38" s="57">
        <v>37</v>
      </c>
      <c r="J38" s="53">
        <v>600548</v>
      </c>
      <c r="K38" s="54" t="s">
        <v>464</v>
      </c>
      <c r="L38" s="54">
        <v>8.5500000000000007</v>
      </c>
      <c r="M38" s="59">
        <v>-2.3E-3</v>
      </c>
      <c r="N38" s="54">
        <v>4026.19</v>
      </c>
      <c r="O38" s="54">
        <v>174.76</v>
      </c>
      <c r="P38" s="54">
        <v>1.57</v>
      </c>
      <c r="Q38" s="54">
        <v>12.041</v>
      </c>
      <c r="R38" s="56">
        <v>3.9800000000000002E-2</v>
      </c>
      <c r="S38" s="56">
        <v>5.2600000000000001E-2</v>
      </c>
    </row>
    <row r="39" spans="1:19" ht="16.2" thickBot="1" x14ac:dyDescent="0.3">
      <c r="A39" s="52" t="s">
        <v>465</v>
      </c>
      <c r="B39" s="52" t="s">
        <v>466</v>
      </c>
      <c r="C39" s="52" t="s">
        <v>467</v>
      </c>
      <c r="D39" s="52" t="s">
        <v>444</v>
      </c>
      <c r="F39" s="51">
        <f t="shared" si="1"/>
        <v>3.4299999999999997E-2</v>
      </c>
      <c r="I39" s="57">
        <v>38</v>
      </c>
      <c r="J39" s="53">
        <v>603989</v>
      </c>
      <c r="K39" s="54" t="s">
        <v>468</v>
      </c>
      <c r="L39" s="54">
        <v>34.590000000000003</v>
      </c>
      <c r="M39" s="59">
        <v>-3.5000000000000001E-3</v>
      </c>
      <c r="N39" s="54">
        <v>12199.73</v>
      </c>
      <c r="O39" s="54">
        <v>103.77</v>
      </c>
      <c r="P39" s="54">
        <v>6.2859999999999996</v>
      </c>
      <c r="Q39" s="54">
        <v>38.404000000000003</v>
      </c>
      <c r="R39" s="56">
        <v>3.95E-2</v>
      </c>
      <c r="S39" s="56">
        <v>0</v>
      </c>
    </row>
    <row r="40" spans="1:19" ht="16.2" thickBot="1" x14ac:dyDescent="0.3">
      <c r="A40" s="52" t="s">
        <v>469</v>
      </c>
      <c r="B40" s="52" t="s">
        <v>148</v>
      </c>
      <c r="C40" s="52" t="s">
        <v>470</v>
      </c>
      <c r="D40" s="52" t="s">
        <v>444</v>
      </c>
      <c r="F40" s="51" t="e">
        <f t="shared" si="1"/>
        <v>#N/A</v>
      </c>
      <c r="I40" s="57">
        <v>39</v>
      </c>
      <c r="J40" s="53">
        <v>550</v>
      </c>
      <c r="K40" s="54" t="s">
        <v>367</v>
      </c>
      <c r="L40" s="54">
        <v>26.8</v>
      </c>
      <c r="M40" s="55">
        <v>4.0000000000000002E-4</v>
      </c>
      <c r="N40" s="54">
        <v>5419.53</v>
      </c>
      <c r="O40" s="54">
        <v>192.36</v>
      </c>
      <c r="P40" s="54">
        <v>2.0110000000000001</v>
      </c>
      <c r="Q40" s="54">
        <v>12.539</v>
      </c>
      <c r="R40" s="56">
        <v>3.8399999999999997E-2</v>
      </c>
      <c r="S40" s="56">
        <v>3.6200000000000003E-2</v>
      </c>
    </row>
    <row r="41" spans="1:19" ht="16.2" thickBot="1" x14ac:dyDescent="0.3">
      <c r="A41" s="52" t="s">
        <v>471</v>
      </c>
      <c r="B41" s="52" t="s">
        <v>472</v>
      </c>
      <c r="C41" s="52" t="s">
        <v>473</v>
      </c>
      <c r="D41" s="52" t="s">
        <v>444</v>
      </c>
      <c r="F41" s="51">
        <f t="shared" si="1"/>
        <v>2.92E-2</v>
      </c>
      <c r="I41" s="57">
        <v>40</v>
      </c>
      <c r="J41" s="53">
        <v>600886</v>
      </c>
      <c r="K41" s="54" t="s">
        <v>474</v>
      </c>
      <c r="L41" s="54">
        <v>7.34</v>
      </c>
      <c r="M41" s="55">
        <v>2.7000000000000001E-3</v>
      </c>
      <c r="N41" s="54">
        <v>26966.71</v>
      </c>
      <c r="O41" s="54">
        <v>498.09</v>
      </c>
      <c r="P41" s="54">
        <v>1.9219999999999999</v>
      </c>
      <c r="Q41" s="54">
        <v>9.1519999999999992</v>
      </c>
      <c r="R41" s="56">
        <v>3.8100000000000002E-2</v>
      </c>
      <c r="S41" s="56">
        <v>3.9399999999999998E-2</v>
      </c>
    </row>
    <row r="42" spans="1:19" ht="16.2" thickBot="1" x14ac:dyDescent="0.3">
      <c r="A42" s="52" t="s">
        <v>475</v>
      </c>
      <c r="B42" s="52" t="s">
        <v>169</v>
      </c>
      <c r="C42" s="52" t="s">
        <v>476</v>
      </c>
      <c r="D42" s="52" t="s">
        <v>444</v>
      </c>
      <c r="F42" s="51" t="e">
        <f t="shared" si="1"/>
        <v>#N/A</v>
      </c>
      <c r="I42" s="57">
        <v>41</v>
      </c>
      <c r="J42" s="53">
        <v>600859</v>
      </c>
      <c r="K42" s="54" t="s">
        <v>477</v>
      </c>
      <c r="L42" s="54">
        <v>17.8</v>
      </c>
      <c r="M42" s="59">
        <v>-5.9999999999999995E-4</v>
      </c>
      <c r="N42" s="54">
        <v>12842.74</v>
      </c>
      <c r="O42" s="54">
        <v>107.08</v>
      </c>
      <c r="P42" s="54">
        <v>1.518</v>
      </c>
      <c r="Q42" s="54">
        <v>17.193000000000001</v>
      </c>
      <c r="R42" s="56">
        <v>3.7999999999999999E-2</v>
      </c>
      <c r="S42" s="56">
        <v>1.8100000000000002E-2</v>
      </c>
    </row>
    <row r="43" spans="1:19" ht="16.2" thickBot="1" x14ac:dyDescent="0.3">
      <c r="A43" s="52" t="s">
        <v>478</v>
      </c>
      <c r="B43" s="52" t="s">
        <v>479</v>
      </c>
      <c r="C43" s="52" t="s">
        <v>480</v>
      </c>
      <c r="D43" s="52" t="s">
        <v>444</v>
      </c>
      <c r="F43" s="51" t="e">
        <f t="shared" si="1"/>
        <v>#N/A</v>
      </c>
      <c r="I43" s="57">
        <v>42</v>
      </c>
      <c r="J43" s="53">
        <v>601166</v>
      </c>
      <c r="K43" s="54" t="s">
        <v>481</v>
      </c>
      <c r="L43" s="54">
        <v>16.04</v>
      </c>
      <c r="M43" s="55">
        <v>1.1999999999999999E-3</v>
      </c>
      <c r="N43" s="54">
        <v>47951.96</v>
      </c>
      <c r="O43" s="54">
        <v>3055.99</v>
      </c>
      <c r="P43" s="54">
        <v>1.046</v>
      </c>
      <c r="Q43" s="54">
        <v>5.9779999999999998</v>
      </c>
      <c r="R43" s="56">
        <v>3.7999999999999999E-2</v>
      </c>
      <c r="S43" s="56">
        <v>3.5499999999999997E-2</v>
      </c>
    </row>
    <row r="44" spans="1:19" ht="16.2" thickBot="1" x14ac:dyDescent="0.3">
      <c r="A44" s="52" t="s">
        <v>482</v>
      </c>
      <c r="B44" s="52" t="s">
        <v>399</v>
      </c>
      <c r="C44" s="52" t="s">
        <v>483</v>
      </c>
      <c r="D44" s="52" t="s">
        <v>444</v>
      </c>
      <c r="F44" s="51" t="e">
        <f t="shared" si="1"/>
        <v>#N/A</v>
      </c>
      <c r="I44" s="57">
        <v>43</v>
      </c>
      <c r="J44" s="53">
        <v>601601</v>
      </c>
      <c r="K44" s="54" t="s">
        <v>484</v>
      </c>
      <c r="L44" s="54">
        <v>26.4</v>
      </c>
      <c r="M44" s="55">
        <v>1.1000000000000001E-3</v>
      </c>
      <c r="N44" s="54">
        <v>21112.93</v>
      </c>
      <c r="O44" s="54">
        <v>2325.67</v>
      </c>
      <c r="P44" s="54">
        <v>1.94</v>
      </c>
      <c r="Q44" s="54">
        <v>15.923999999999999</v>
      </c>
      <c r="R44" s="56">
        <v>3.7900000000000003E-2</v>
      </c>
      <c r="S44" s="56">
        <v>1.89E-2</v>
      </c>
    </row>
    <row r="45" spans="1:19" ht="16.2" thickBot="1" x14ac:dyDescent="0.3">
      <c r="A45" s="52" t="s">
        <v>485</v>
      </c>
      <c r="B45" s="52" t="s">
        <v>365</v>
      </c>
      <c r="C45" s="52" t="s">
        <v>486</v>
      </c>
      <c r="D45" s="52" t="s">
        <v>444</v>
      </c>
      <c r="F45" s="51" t="e">
        <f t="shared" si="1"/>
        <v>#N/A</v>
      </c>
      <c r="I45" s="57">
        <v>44</v>
      </c>
      <c r="J45" s="53">
        <v>2394</v>
      </c>
      <c r="K45" s="54" t="s">
        <v>432</v>
      </c>
      <c r="L45" s="54">
        <v>15.93</v>
      </c>
      <c r="M45" s="55">
        <v>1.21E-2</v>
      </c>
      <c r="N45" s="54">
        <v>12412.64</v>
      </c>
      <c r="O45" s="54">
        <v>51.57</v>
      </c>
      <c r="P45" s="54">
        <v>1.907</v>
      </c>
      <c r="Q45" s="54">
        <v>15.882999999999999</v>
      </c>
      <c r="R45" s="56">
        <v>3.7699999999999997E-2</v>
      </c>
      <c r="S45" s="56">
        <v>3.1399999999999997E-2</v>
      </c>
    </row>
    <row r="46" spans="1:19" ht="16.2" thickBot="1" x14ac:dyDescent="0.3">
      <c r="A46" s="52" t="s">
        <v>487</v>
      </c>
      <c r="B46" s="52" t="s">
        <v>167</v>
      </c>
      <c r="C46" s="52" t="s">
        <v>488</v>
      </c>
      <c r="D46" s="52" t="s">
        <v>444</v>
      </c>
      <c r="F46" s="51">
        <f t="shared" si="1"/>
        <v>3.0099999999999998E-2</v>
      </c>
      <c r="I46" s="57">
        <v>45</v>
      </c>
      <c r="J46" s="53">
        <v>600036</v>
      </c>
      <c r="K46" s="54" t="s">
        <v>151</v>
      </c>
      <c r="L46" s="54">
        <v>18.62</v>
      </c>
      <c r="M46" s="55">
        <v>2.1399999999999999E-2</v>
      </c>
      <c r="N46" s="54">
        <v>72918.25</v>
      </c>
      <c r="O46" s="54">
        <v>4582.09</v>
      </c>
      <c r="P46" s="54">
        <v>1.298</v>
      </c>
      <c r="Q46" s="54">
        <v>7.8330000000000002</v>
      </c>
      <c r="R46" s="56">
        <v>3.7100000000000001E-2</v>
      </c>
      <c r="S46" s="56">
        <v>3.5999999999999997E-2</v>
      </c>
    </row>
    <row r="47" spans="1:19" ht="16.2" thickBot="1" x14ac:dyDescent="0.3">
      <c r="A47" s="52" t="s">
        <v>489</v>
      </c>
      <c r="B47" s="52" t="s">
        <v>490</v>
      </c>
      <c r="C47" s="52" t="s">
        <v>491</v>
      </c>
      <c r="D47" s="52" t="s">
        <v>444</v>
      </c>
      <c r="F47" s="51">
        <f t="shared" si="1"/>
        <v>2.93E-2</v>
      </c>
      <c r="I47" s="57">
        <v>46</v>
      </c>
      <c r="J47" s="53">
        <v>543</v>
      </c>
      <c r="K47" s="54" t="s">
        <v>492</v>
      </c>
      <c r="L47" s="54">
        <v>8.5</v>
      </c>
      <c r="M47" s="55">
        <v>2.6599999999999999E-2</v>
      </c>
      <c r="N47" s="54">
        <v>41255.65</v>
      </c>
      <c r="O47" s="54">
        <v>152.18</v>
      </c>
      <c r="P47" s="54">
        <v>1.7649999999999999</v>
      </c>
      <c r="Q47" s="54">
        <v>13.093999999999999</v>
      </c>
      <c r="R47" s="56">
        <v>3.6900000000000002E-2</v>
      </c>
      <c r="S47" s="56">
        <v>1.4E-2</v>
      </c>
    </row>
    <row r="48" spans="1:19" ht="16.2" thickBot="1" x14ac:dyDescent="0.3">
      <c r="A48" s="52" t="s">
        <v>493</v>
      </c>
      <c r="B48" s="52" t="s">
        <v>151</v>
      </c>
      <c r="C48" s="52" t="s">
        <v>494</v>
      </c>
      <c r="D48" s="52" t="s">
        <v>444</v>
      </c>
      <c r="F48" s="51" t="e">
        <f t="shared" si="1"/>
        <v>#N/A</v>
      </c>
      <c r="I48" s="57">
        <v>47</v>
      </c>
      <c r="J48" s="53">
        <v>601877</v>
      </c>
      <c r="K48" s="54" t="s">
        <v>495</v>
      </c>
      <c r="L48" s="54">
        <v>21.76</v>
      </c>
      <c r="M48" s="55">
        <v>3.2000000000000002E-3</v>
      </c>
      <c r="N48" s="54">
        <v>16957.63</v>
      </c>
      <c r="O48" s="54">
        <v>287.11</v>
      </c>
      <c r="P48" s="54">
        <v>3.9279999999999999</v>
      </c>
      <c r="Q48" s="54">
        <v>16.292999999999999</v>
      </c>
      <c r="R48" s="56">
        <v>3.6600000000000001E-2</v>
      </c>
      <c r="S48" s="56">
        <v>3.8100000000000002E-2</v>
      </c>
    </row>
    <row r="49" spans="1:19" ht="16.2" thickBot="1" x14ac:dyDescent="0.3">
      <c r="A49" s="52" t="s">
        <v>496</v>
      </c>
      <c r="B49" s="52" t="s">
        <v>497</v>
      </c>
      <c r="C49" s="52" t="s">
        <v>498</v>
      </c>
      <c r="D49" s="52" t="s">
        <v>444</v>
      </c>
      <c r="F49" s="51">
        <f t="shared" si="1"/>
        <v>3.15E-2</v>
      </c>
      <c r="I49" s="57">
        <v>48</v>
      </c>
      <c r="J49" s="53">
        <v>600795</v>
      </c>
      <c r="K49" s="54" t="s">
        <v>220</v>
      </c>
      <c r="L49" s="54">
        <v>3.07</v>
      </c>
      <c r="M49" s="58">
        <v>0</v>
      </c>
      <c r="N49" s="54">
        <v>24297.33</v>
      </c>
      <c r="O49" s="54">
        <v>603.27</v>
      </c>
      <c r="P49" s="54">
        <v>1.208</v>
      </c>
      <c r="Q49" s="54">
        <v>13.441000000000001</v>
      </c>
      <c r="R49" s="56">
        <v>3.5799999999999998E-2</v>
      </c>
      <c r="S49" s="56">
        <v>4.6899999999999997E-2</v>
      </c>
    </row>
    <row r="50" spans="1:19" ht="16.2" thickBot="1" x14ac:dyDescent="0.3">
      <c r="A50" s="52" t="s">
        <v>499</v>
      </c>
      <c r="B50" s="52" t="s">
        <v>345</v>
      </c>
      <c r="C50" s="52" t="s">
        <v>500</v>
      </c>
      <c r="D50" s="52" t="s">
        <v>444</v>
      </c>
      <c r="F50" s="51" t="e">
        <f t="shared" si="1"/>
        <v>#N/A</v>
      </c>
      <c r="I50" s="57">
        <v>49</v>
      </c>
      <c r="J50" s="53">
        <v>603001</v>
      </c>
      <c r="K50" s="54" t="s">
        <v>501</v>
      </c>
      <c r="L50" s="54">
        <v>20.98</v>
      </c>
      <c r="M50" s="58">
        <v>0</v>
      </c>
      <c r="N50" s="54">
        <v>4518.88</v>
      </c>
      <c r="O50" s="54">
        <v>84.13</v>
      </c>
      <c r="P50" s="54">
        <v>2.1030000000000002</v>
      </c>
      <c r="Q50" s="54">
        <v>21.933</v>
      </c>
      <c r="R50" s="56">
        <v>3.5799999999999998E-2</v>
      </c>
      <c r="S50" s="56">
        <v>2.3800000000000002E-2</v>
      </c>
    </row>
    <row r="51" spans="1:19" ht="16.2" thickBot="1" x14ac:dyDescent="0.3">
      <c r="A51" s="52" t="s">
        <v>502</v>
      </c>
      <c r="B51" s="52" t="s">
        <v>503</v>
      </c>
      <c r="C51" s="52" t="s">
        <v>504</v>
      </c>
      <c r="D51" s="52" t="s">
        <v>444</v>
      </c>
      <c r="F51" s="51" t="e">
        <f t="shared" si="1"/>
        <v>#N/A</v>
      </c>
      <c r="I51" s="57">
        <v>50</v>
      </c>
      <c r="J51" s="53">
        <v>861</v>
      </c>
      <c r="K51" s="54" t="s">
        <v>505</v>
      </c>
      <c r="L51" s="54">
        <v>5.62</v>
      </c>
      <c r="M51" s="59">
        <v>-1.23E-2</v>
      </c>
      <c r="N51" s="54">
        <v>43633.62</v>
      </c>
      <c r="O51" s="54">
        <v>126.44</v>
      </c>
      <c r="P51" s="54">
        <v>4.4749999999999996</v>
      </c>
      <c r="Q51" s="54">
        <v>68.635000000000005</v>
      </c>
      <c r="R51" s="56">
        <v>3.56E-2</v>
      </c>
      <c r="S51" s="56">
        <v>2.2100000000000002E-2</v>
      </c>
    </row>
    <row r="52" spans="1:19" ht="16.2" thickBot="1" x14ac:dyDescent="0.3">
      <c r="A52" s="52" t="s">
        <v>506</v>
      </c>
      <c r="B52" s="52" t="s">
        <v>361</v>
      </c>
      <c r="C52" s="52" t="s">
        <v>507</v>
      </c>
      <c r="D52" s="52" t="s">
        <v>444</v>
      </c>
      <c r="F52" s="51" t="e">
        <f t="shared" si="1"/>
        <v>#N/A</v>
      </c>
      <c r="I52" s="57">
        <v>51</v>
      </c>
      <c r="J52" s="53">
        <v>1696</v>
      </c>
      <c r="K52" s="54" t="s">
        <v>508</v>
      </c>
      <c r="L52" s="54">
        <v>10.199999999999999</v>
      </c>
      <c r="M52" s="59">
        <v>-2E-3</v>
      </c>
      <c r="N52" s="54">
        <v>8873.5499999999993</v>
      </c>
      <c r="O52" s="54">
        <v>116.79</v>
      </c>
      <c r="P52" s="54">
        <v>3.5139999999999998</v>
      </c>
      <c r="Q52" s="54">
        <v>30.800999999999998</v>
      </c>
      <c r="R52" s="56">
        <v>3.5299999999999998E-2</v>
      </c>
      <c r="S52" s="56">
        <v>2.8999999999999998E-3</v>
      </c>
    </row>
    <row r="53" spans="1:19" ht="16.2" thickBot="1" x14ac:dyDescent="0.3">
      <c r="A53" s="52" t="s">
        <v>509</v>
      </c>
      <c r="B53" s="52" t="s">
        <v>510</v>
      </c>
      <c r="C53" s="52" t="s">
        <v>511</v>
      </c>
      <c r="D53" s="52" t="s">
        <v>444</v>
      </c>
      <c r="F53" s="51" t="e">
        <f t="shared" si="1"/>
        <v>#N/A</v>
      </c>
      <c r="I53" s="57">
        <v>52</v>
      </c>
      <c r="J53" s="53">
        <v>600015</v>
      </c>
      <c r="K53" s="54" t="s">
        <v>466</v>
      </c>
      <c r="L53" s="54">
        <v>10.59</v>
      </c>
      <c r="M53" s="55">
        <v>2.8E-3</v>
      </c>
      <c r="N53" s="54">
        <v>51379.18</v>
      </c>
      <c r="O53" s="54">
        <v>1131.5999999999999</v>
      </c>
      <c r="P53" s="54">
        <v>0.91700000000000004</v>
      </c>
      <c r="Q53" s="54">
        <v>5.819</v>
      </c>
      <c r="R53" s="56">
        <v>3.4299999999999997E-2</v>
      </c>
      <c r="S53" s="56">
        <v>3.4200000000000001E-2</v>
      </c>
    </row>
    <row r="54" spans="1:19" ht="16.2" thickBot="1" x14ac:dyDescent="0.3">
      <c r="A54" s="52" t="s">
        <v>512</v>
      </c>
      <c r="B54" s="52" t="s">
        <v>513</v>
      </c>
      <c r="C54" s="52" t="s">
        <v>514</v>
      </c>
      <c r="D54" s="52" t="s">
        <v>444</v>
      </c>
      <c r="F54" s="51" t="e">
        <f t="shared" si="1"/>
        <v>#N/A</v>
      </c>
      <c r="I54" s="57">
        <v>53</v>
      </c>
      <c r="J54" s="53">
        <v>600020</v>
      </c>
      <c r="K54" s="54" t="s">
        <v>515</v>
      </c>
      <c r="L54" s="54">
        <v>4.67</v>
      </c>
      <c r="M54" s="59">
        <v>-2.0999999999999999E-3</v>
      </c>
      <c r="N54" s="54">
        <v>5063.97</v>
      </c>
      <c r="O54" s="54">
        <v>104.95</v>
      </c>
      <c r="P54" s="54">
        <v>1.23</v>
      </c>
      <c r="Q54" s="54">
        <v>9.52</v>
      </c>
      <c r="R54" s="56">
        <v>3.4299999999999997E-2</v>
      </c>
      <c r="S54" s="56">
        <v>2.5700000000000001E-2</v>
      </c>
    </row>
    <row r="55" spans="1:19" ht="16.2" thickBot="1" x14ac:dyDescent="0.3">
      <c r="A55" s="52" t="s">
        <v>516</v>
      </c>
      <c r="B55" s="52" t="s">
        <v>422</v>
      </c>
      <c r="C55" s="52" t="s">
        <v>517</v>
      </c>
      <c r="D55" s="52" t="s">
        <v>444</v>
      </c>
      <c r="F55" s="51" t="e">
        <f t="shared" si="1"/>
        <v>#N/A</v>
      </c>
      <c r="I55" s="57">
        <v>54</v>
      </c>
      <c r="J55" s="53">
        <v>601158</v>
      </c>
      <c r="K55" s="54" t="s">
        <v>518</v>
      </c>
      <c r="L55" s="54">
        <v>7.65</v>
      </c>
      <c r="M55" s="59">
        <v>-9.1000000000000004E-3</v>
      </c>
      <c r="N55" s="54">
        <v>4097.58</v>
      </c>
      <c r="O55" s="54">
        <v>367.2</v>
      </c>
      <c r="P55" s="54">
        <v>2.8029999999999999</v>
      </c>
      <c r="Q55" s="54">
        <v>25.651</v>
      </c>
      <c r="R55" s="56">
        <v>3.4000000000000002E-2</v>
      </c>
      <c r="S55" s="56">
        <v>3.27E-2</v>
      </c>
    </row>
    <row r="56" spans="1:19" ht="16.2" thickBot="1" x14ac:dyDescent="0.3">
      <c r="A56" s="52" t="s">
        <v>519</v>
      </c>
      <c r="B56" s="52" t="s">
        <v>520</v>
      </c>
      <c r="C56" s="52" t="s">
        <v>521</v>
      </c>
      <c r="D56" s="52" t="s">
        <v>444</v>
      </c>
      <c r="F56" s="51" t="e">
        <f t="shared" si="1"/>
        <v>#N/A</v>
      </c>
      <c r="I56" s="57">
        <v>55</v>
      </c>
      <c r="J56" s="53">
        <v>2242</v>
      </c>
      <c r="K56" s="54" t="s">
        <v>420</v>
      </c>
      <c r="L56" s="54">
        <v>20.65</v>
      </c>
      <c r="M56" s="55">
        <v>1.9E-3</v>
      </c>
      <c r="N56" s="54">
        <v>8326.5400000000009</v>
      </c>
      <c r="O56" s="54">
        <v>158.51</v>
      </c>
      <c r="P56" s="54">
        <v>5.1150000000000002</v>
      </c>
      <c r="Q56" s="54">
        <v>23.85</v>
      </c>
      <c r="R56" s="56">
        <v>3.39E-2</v>
      </c>
      <c r="S56" s="56">
        <v>2.9100000000000001E-2</v>
      </c>
    </row>
    <row r="57" spans="1:19" ht="16.2" thickBot="1" x14ac:dyDescent="0.3">
      <c r="A57" s="52" t="s">
        <v>522</v>
      </c>
      <c r="B57" s="52" t="s">
        <v>523</v>
      </c>
      <c r="C57" s="52" t="s">
        <v>524</v>
      </c>
      <c r="D57" s="52" t="s">
        <v>444</v>
      </c>
      <c r="F57" s="51" t="e">
        <f t="shared" si="1"/>
        <v>#N/A</v>
      </c>
      <c r="I57" s="57">
        <v>56</v>
      </c>
      <c r="J57" s="53">
        <v>2736</v>
      </c>
      <c r="K57" s="54" t="s">
        <v>284</v>
      </c>
      <c r="L57" s="54">
        <v>17.8</v>
      </c>
      <c r="M57" s="59">
        <v>-5.0000000000000001E-3</v>
      </c>
      <c r="N57" s="54">
        <v>23148.55</v>
      </c>
      <c r="O57" s="54">
        <v>1459.6</v>
      </c>
      <c r="P57" s="54">
        <v>3.19</v>
      </c>
      <c r="Q57" s="54">
        <v>20.49</v>
      </c>
      <c r="R57" s="56">
        <v>3.3700000000000001E-2</v>
      </c>
      <c r="S57" s="56">
        <v>1.12E-2</v>
      </c>
    </row>
    <row r="58" spans="1:19" ht="16.2" thickBot="1" x14ac:dyDescent="0.3">
      <c r="A58" s="52" t="s">
        <v>525</v>
      </c>
      <c r="B58" s="52" t="s">
        <v>526</v>
      </c>
      <c r="C58" s="52" t="s">
        <v>527</v>
      </c>
      <c r="D58" s="52" t="s">
        <v>444</v>
      </c>
      <c r="F58" s="51" t="e">
        <f t="shared" si="1"/>
        <v>#N/A</v>
      </c>
      <c r="I58" s="57">
        <v>57</v>
      </c>
      <c r="J58" s="53">
        <v>600315</v>
      </c>
      <c r="K58" s="54" t="s">
        <v>528</v>
      </c>
      <c r="L58" s="54">
        <v>29.38</v>
      </c>
      <c r="M58" s="55">
        <v>2.3999999999999998E-3</v>
      </c>
      <c r="N58" s="54">
        <v>16380.24</v>
      </c>
      <c r="O58" s="54">
        <v>198.03</v>
      </c>
      <c r="P58" s="54">
        <v>3.6509999999999998</v>
      </c>
      <c r="Q58" s="54">
        <v>10.199999999999999</v>
      </c>
      <c r="R58" s="56">
        <v>3.3700000000000001E-2</v>
      </c>
      <c r="S58" s="56">
        <v>2.07E-2</v>
      </c>
    </row>
    <row r="59" spans="1:19" ht="16.2" thickBot="1" x14ac:dyDescent="0.3">
      <c r="A59" s="52" t="s">
        <v>529</v>
      </c>
      <c r="B59" s="52" t="s">
        <v>530</v>
      </c>
      <c r="C59" s="52" t="s">
        <v>531</v>
      </c>
      <c r="D59" s="52" t="s">
        <v>444</v>
      </c>
      <c r="F59" s="51" t="e">
        <f t="shared" si="1"/>
        <v>#N/A</v>
      </c>
      <c r="I59" s="57">
        <v>58</v>
      </c>
      <c r="J59" s="53">
        <v>601000</v>
      </c>
      <c r="K59" s="54" t="s">
        <v>532</v>
      </c>
      <c r="L59" s="54">
        <v>4.16</v>
      </c>
      <c r="M59" s="59">
        <v>-7.1999999999999998E-3</v>
      </c>
      <c r="N59" s="54">
        <v>7400.73</v>
      </c>
      <c r="O59" s="54">
        <v>168.36</v>
      </c>
      <c r="P59" s="54">
        <v>1.6279999999999999</v>
      </c>
      <c r="Q59" s="54">
        <v>13.694000000000001</v>
      </c>
      <c r="R59" s="56">
        <v>3.3399999999999999E-2</v>
      </c>
      <c r="S59" s="56">
        <v>1.2E-2</v>
      </c>
    </row>
    <row r="60" spans="1:19" ht="16.2" thickBot="1" x14ac:dyDescent="0.3">
      <c r="A60" s="52" t="s">
        <v>533</v>
      </c>
      <c r="B60" s="52" t="s">
        <v>534</v>
      </c>
      <c r="C60" s="52" t="s">
        <v>535</v>
      </c>
      <c r="D60" s="52" t="s">
        <v>444</v>
      </c>
      <c r="F60" s="51">
        <f t="shared" si="1"/>
        <v>2.8500000000000001E-2</v>
      </c>
      <c r="I60" s="57">
        <v>59</v>
      </c>
      <c r="J60" s="53">
        <v>600383</v>
      </c>
      <c r="K60" s="54" t="s">
        <v>536</v>
      </c>
      <c r="L60" s="54">
        <v>12.59</v>
      </c>
      <c r="M60" s="55">
        <v>2.3999999999999998E-3</v>
      </c>
      <c r="N60" s="54">
        <v>175118.87</v>
      </c>
      <c r="O60" s="54">
        <v>566.66</v>
      </c>
      <c r="P60" s="54">
        <v>1.77</v>
      </c>
      <c r="Q60" s="54">
        <v>16.393999999999998</v>
      </c>
      <c r="R60" s="56">
        <v>3.3399999999999999E-2</v>
      </c>
      <c r="S60" s="56">
        <v>1.03E-2</v>
      </c>
    </row>
    <row r="61" spans="1:19" ht="16.2" thickBot="1" x14ac:dyDescent="0.3">
      <c r="A61" s="52" t="s">
        <v>537</v>
      </c>
      <c r="B61" s="52" t="s">
        <v>538</v>
      </c>
      <c r="C61" s="52" t="s">
        <v>539</v>
      </c>
      <c r="D61" s="52" t="s">
        <v>444</v>
      </c>
      <c r="F61" s="51" t="e">
        <f t="shared" si="1"/>
        <v>#N/A</v>
      </c>
      <c r="I61" s="57">
        <v>60</v>
      </c>
      <c r="J61" s="53">
        <v>600369</v>
      </c>
      <c r="K61" s="54" t="s">
        <v>540</v>
      </c>
      <c r="L61" s="54">
        <v>7.59</v>
      </c>
      <c r="M61" s="59">
        <v>-1.2999999999999999E-3</v>
      </c>
      <c r="N61" s="54">
        <v>18926.849999999999</v>
      </c>
      <c r="O61" s="54">
        <v>428.46</v>
      </c>
      <c r="P61" s="54">
        <v>2.472</v>
      </c>
      <c r="Q61" s="54">
        <v>14.606999999999999</v>
      </c>
      <c r="R61" s="56">
        <v>3.2899999999999999E-2</v>
      </c>
      <c r="S61" s="56">
        <v>1.9800000000000002E-2</v>
      </c>
    </row>
    <row r="62" spans="1:19" ht="16.2" thickBot="1" x14ac:dyDescent="0.3">
      <c r="A62" s="52" t="s">
        <v>541</v>
      </c>
      <c r="B62" s="52" t="s">
        <v>434</v>
      </c>
      <c r="C62" s="52" t="s">
        <v>542</v>
      </c>
      <c r="D62" s="52" t="s">
        <v>444</v>
      </c>
      <c r="F62" s="51" t="e">
        <f t="shared" si="1"/>
        <v>#N/A</v>
      </c>
      <c r="I62" s="57">
        <v>61</v>
      </c>
      <c r="J62" s="53">
        <v>488</v>
      </c>
      <c r="K62" s="54" t="s">
        <v>543</v>
      </c>
      <c r="L62" s="54">
        <v>9.17</v>
      </c>
      <c r="M62" s="55">
        <v>2.2000000000000001E-3</v>
      </c>
      <c r="N62" s="54">
        <v>15329.51</v>
      </c>
      <c r="O62" s="54">
        <v>148.75</v>
      </c>
      <c r="P62" s="54">
        <v>1.0620000000000001</v>
      </c>
      <c r="Q62" s="54">
        <v>13.379</v>
      </c>
      <c r="R62" s="56">
        <v>3.27E-2</v>
      </c>
      <c r="S62" s="56">
        <v>1.5299999999999999E-2</v>
      </c>
    </row>
    <row r="63" spans="1:19" ht="16.2" thickBot="1" x14ac:dyDescent="0.3">
      <c r="A63" s="52" t="s">
        <v>544</v>
      </c>
      <c r="B63" s="52" t="s">
        <v>545</v>
      </c>
      <c r="C63" s="52" t="s">
        <v>546</v>
      </c>
      <c r="D63" s="52" t="s">
        <v>444</v>
      </c>
      <c r="F63" s="51" t="e">
        <f t="shared" si="1"/>
        <v>#N/A</v>
      </c>
      <c r="I63" s="57">
        <v>62</v>
      </c>
      <c r="J63" s="53">
        <v>600642</v>
      </c>
      <c r="K63" s="54" t="s">
        <v>547</v>
      </c>
      <c r="L63" s="54">
        <v>6.12</v>
      </c>
      <c r="M63" s="59">
        <v>-4.8999999999999998E-3</v>
      </c>
      <c r="N63" s="54">
        <v>11546.98</v>
      </c>
      <c r="O63" s="54">
        <v>278.58</v>
      </c>
      <c r="P63" s="54">
        <v>1.194</v>
      </c>
      <c r="Q63" s="54">
        <v>13.744999999999999</v>
      </c>
      <c r="R63" s="56">
        <v>3.27E-2</v>
      </c>
      <c r="S63" s="56">
        <v>3.27E-2</v>
      </c>
    </row>
    <row r="64" spans="1:19" ht="16.2" thickBot="1" x14ac:dyDescent="0.3">
      <c r="A64" s="52" t="s">
        <v>548</v>
      </c>
      <c r="B64" s="52" t="s">
        <v>549</v>
      </c>
      <c r="C64" s="52" t="s">
        <v>550</v>
      </c>
      <c r="D64" s="52" t="s">
        <v>444</v>
      </c>
      <c r="F64" s="51" t="e">
        <f t="shared" si="1"/>
        <v>#N/A</v>
      </c>
      <c r="I64" s="57">
        <v>63</v>
      </c>
      <c r="J64" s="53">
        <v>601211</v>
      </c>
      <c r="K64" s="54" t="s">
        <v>551</v>
      </c>
      <c r="L64" s="54">
        <v>19.059999999999999</v>
      </c>
      <c r="M64" s="55">
        <v>2.47E-2</v>
      </c>
      <c r="N64" s="54">
        <v>105615.57</v>
      </c>
      <c r="O64" s="54">
        <v>1453.33</v>
      </c>
      <c r="P64" s="54">
        <v>1.5409999999999999</v>
      </c>
      <c r="Q64" s="54">
        <v>13.113</v>
      </c>
      <c r="R64" s="56">
        <v>3.2500000000000001E-2</v>
      </c>
      <c r="S64" s="56">
        <v>0</v>
      </c>
    </row>
    <row r="65" spans="1:19" ht="16.2" thickBot="1" x14ac:dyDescent="0.3">
      <c r="A65" s="52" t="s">
        <v>552</v>
      </c>
      <c r="B65" s="52" t="s">
        <v>553</v>
      </c>
      <c r="C65" s="52" t="s">
        <v>554</v>
      </c>
      <c r="D65" s="52" t="s">
        <v>444</v>
      </c>
      <c r="F65" s="51" t="e">
        <f t="shared" si="1"/>
        <v>#N/A</v>
      </c>
      <c r="I65" s="57">
        <v>64</v>
      </c>
      <c r="J65" s="53">
        <v>600583</v>
      </c>
      <c r="K65" s="54" t="s">
        <v>555</v>
      </c>
      <c r="L65" s="54">
        <v>7.7</v>
      </c>
      <c r="M65" s="55">
        <v>1.4500000000000001E-2</v>
      </c>
      <c r="N65" s="54">
        <v>27408.93</v>
      </c>
      <c r="O65" s="54">
        <v>340.44</v>
      </c>
      <c r="P65" s="54">
        <v>1.484</v>
      </c>
      <c r="Q65" s="54">
        <v>7.9870000000000001</v>
      </c>
      <c r="R65" s="56">
        <v>3.2500000000000001E-2</v>
      </c>
      <c r="S65" s="56">
        <v>2.9899999999999999E-2</v>
      </c>
    </row>
    <row r="66" spans="1:19" ht="16.2" thickBot="1" x14ac:dyDescent="0.3">
      <c r="A66" s="52" t="s">
        <v>556</v>
      </c>
      <c r="B66" s="52" t="s">
        <v>557</v>
      </c>
      <c r="C66" s="52" t="s">
        <v>558</v>
      </c>
      <c r="D66" s="52" t="s">
        <v>444</v>
      </c>
      <c r="F66" s="51" t="e">
        <f t="shared" ref="F66:F97" si="2">VLOOKUP(B66,K66:S166,8,FALSE)</f>
        <v>#N/A</v>
      </c>
      <c r="I66" s="57">
        <v>65</v>
      </c>
      <c r="J66" s="53">
        <v>876</v>
      </c>
      <c r="K66" s="54" t="s">
        <v>559</v>
      </c>
      <c r="L66" s="54">
        <v>8.5500000000000007</v>
      </c>
      <c r="M66" s="55">
        <v>2.3E-3</v>
      </c>
      <c r="N66" s="54">
        <v>13156.35</v>
      </c>
      <c r="O66" s="54">
        <v>356.38</v>
      </c>
      <c r="P66" s="54">
        <v>1.9019999999999999</v>
      </c>
      <c r="Q66" s="54">
        <v>15.131</v>
      </c>
      <c r="R66" s="56">
        <v>3.2199999999999999E-2</v>
      </c>
      <c r="S66" s="56">
        <v>1.46E-2</v>
      </c>
    </row>
    <row r="67" spans="1:19" ht="16.2" thickBot="1" x14ac:dyDescent="0.3">
      <c r="A67" s="52" t="s">
        <v>560</v>
      </c>
      <c r="B67" s="52" t="s">
        <v>561</v>
      </c>
      <c r="C67" s="52" t="s">
        <v>562</v>
      </c>
      <c r="D67" s="52" t="s">
        <v>444</v>
      </c>
      <c r="F67" s="51" t="e">
        <f t="shared" si="2"/>
        <v>#N/A</v>
      </c>
      <c r="I67" s="57">
        <v>66</v>
      </c>
      <c r="J67" s="53">
        <v>2003</v>
      </c>
      <c r="K67" s="54" t="s">
        <v>404</v>
      </c>
      <c r="L67" s="54">
        <v>14.85</v>
      </c>
      <c r="M67" s="58">
        <v>0</v>
      </c>
      <c r="N67" s="54">
        <v>2640.29</v>
      </c>
      <c r="O67" s="54">
        <v>63.95</v>
      </c>
      <c r="P67" s="54">
        <v>3.1829999999999998</v>
      </c>
      <c r="Q67" s="54">
        <v>23.873999999999999</v>
      </c>
      <c r="R67" s="56">
        <v>3.1899999999999998E-2</v>
      </c>
      <c r="S67" s="56">
        <v>3.1899999999999998E-2</v>
      </c>
    </row>
    <row r="68" spans="1:19" ht="16.2" thickBot="1" x14ac:dyDescent="0.3">
      <c r="A68" s="52" t="s">
        <v>563</v>
      </c>
      <c r="B68" s="52" t="s">
        <v>564</v>
      </c>
      <c r="C68" s="52" t="s">
        <v>565</v>
      </c>
      <c r="D68" s="52" t="s">
        <v>444</v>
      </c>
      <c r="F68" s="51" t="e">
        <f t="shared" si="2"/>
        <v>#N/A</v>
      </c>
      <c r="I68" s="57">
        <v>67</v>
      </c>
      <c r="J68" s="53">
        <v>601998</v>
      </c>
      <c r="K68" s="54" t="s">
        <v>566</v>
      </c>
      <c r="L68" s="54">
        <v>6.43</v>
      </c>
      <c r="M68" s="59">
        <v>-7.7000000000000002E-3</v>
      </c>
      <c r="N68" s="54">
        <v>14115.87</v>
      </c>
      <c r="O68" s="54">
        <v>2839.02</v>
      </c>
      <c r="P68" s="54">
        <v>0.98899999999999999</v>
      </c>
      <c r="Q68" s="54">
        <v>7.5949999999999998</v>
      </c>
      <c r="R68" s="56">
        <v>3.1600000000000003E-2</v>
      </c>
      <c r="S68" s="56">
        <v>0</v>
      </c>
    </row>
    <row r="69" spans="1:19" ht="16.2" thickBot="1" x14ac:dyDescent="0.3">
      <c r="A69" s="52" t="s">
        <v>567</v>
      </c>
      <c r="B69" s="52" t="s">
        <v>414</v>
      </c>
      <c r="C69" s="52" t="s">
        <v>568</v>
      </c>
      <c r="D69" s="52" t="s">
        <v>444</v>
      </c>
      <c r="F69" s="51" t="e">
        <f t="shared" si="2"/>
        <v>#N/A</v>
      </c>
      <c r="I69" s="57">
        <v>68</v>
      </c>
      <c r="J69" s="53">
        <v>600048</v>
      </c>
      <c r="K69" s="54" t="s">
        <v>497</v>
      </c>
      <c r="L69" s="54">
        <v>9.9499999999999993</v>
      </c>
      <c r="M69" s="59">
        <v>-1.8700000000000001E-2</v>
      </c>
      <c r="N69" s="54">
        <v>101689.62</v>
      </c>
      <c r="O69" s="54">
        <v>1179.8499999999999</v>
      </c>
      <c r="P69" s="54">
        <v>1.5109999999999999</v>
      </c>
      <c r="Q69" s="54">
        <v>9.5510000000000002</v>
      </c>
      <c r="R69" s="56">
        <v>3.15E-2</v>
      </c>
      <c r="S69" s="56">
        <v>1.9599999999999999E-2</v>
      </c>
    </row>
    <row r="70" spans="1:19" ht="16.2" thickBot="1" x14ac:dyDescent="0.3">
      <c r="A70" s="52" t="s">
        <v>569</v>
      </c>
      <c r="B70" s="52" t="s">
        <v>547</v>
      </c>
      <c r="C70" s="52" t="s">
        <v>570</v>
      </c>
      <c r="D70" s="52" t="s">
        <v>444</v>
      </c>
      <c r="F70" s="51" t="e">
        <f t="shared" si="2"/>
        <v>#N/A</v>
      </c>
      <c r="I70" s="57">
        <v>69</v>
      </c>
      <c r="J70" s="53">
        <v>601991</v>
      </c>
      <c r="K70" s="54" t="s">
        <v>571</v>
      </c>
      <c r="L70" s="54">
        <v>4.1900000000000004</v>
      </c>
      <c r="M70" s="55">
        <v>4.7999999999999996E-3</v>
      </c>
      <c r="N70" s="54">
        <v>6649.05</v>
      </c>
      <c r="O70" s="54">
        <v>476.53</v>
      </c>
      <c r="P70" s="54">
        <v>1.2210000000000001</v>
      </c>
      <c r="Q70" s="54">
        <v>20.524999999999999</v>
      </c>
      <c r="R70" s="56">
        <v>3.1E-2</v>
      </c>
      <c r="S70" s="56">
        <v>3.1E-2</v>
      </c>
    </row>
    <row r="71" spans="1:19" ht="16.2" thickBot="1" x14ac:dyDescent="0.3">
      <c r="A71" s="52" t="s">
        <v>572</v>
      </c>
      <c r="B71" s="52" t="s">
        <v>430</v>
      </c>
      <c r="C71" s="52" t="s">
        <v>573</v>
      </c>
      <c r="D71" s="52" t="s">
        <v>444</v>
      </c>
      <c r="F71" s="51" t="e">
        <f t="shared" si="2"/>
        <v>#N/A</v>
      </c>
      <c r="I71" s="57">
        <v>70</v>
      </c>
      <c r="J71" s="53">
        <v>601668</v>
      </c>
      <c r="K71" s="54" t="s">
        <v>574</v>
      </c>
      <c r="L71" s="54">
        <v>6.46</v>
      </c>
      <c r="M71" s="58">
        <v>0</v>
      </c>
      <c r="N71" s="54">
        <v>140712</v>
      </c>
      <c r="O71" s="54">
        <v>1938</v>
      </c>
      <c r="P71" s="54">
        <v>1.26</v>
      </c>
      <c r="Q71" s="54">
        <v>7.2270000000000003</v>
      </c>
      <c r="R71" s="56">
        <v>3.1E-2</v>
      </c>
      <c r="S71" s="56">
        <v>2.6599999999999999E-2</v>
      </c>
    </row>
    <row r="72" spans="1:19" ht="16.2" thickBot="1" x14ac:dyDescent="0.3">
      <c r="A72" s="52" t="s">
        <v>575</v>
      </c>
      <c r="B72" s="52" t="s">
        <v>576</v>
      </c>
      <c r="C72" s="52" t="s">
        <v>577</v>
      </c>
      <c r="D72" s="52" t="s">
        <v>444</v>
      </c>
      <c r="F72" s="51" t="e">
        <f t="shared" si="2"/>
        <v>#N/A</v>
      </c>
      <c r="I72" s="57">
        <v>71</v>
      </c>
      <c r="J72" s="53">
        <v>2083</v>
      </c>
      <c r="K72" s="54" t="s">
        <v>578</v>
      </c>
      <c r="L72" s="54">
        <v>6.48</v>
      </c>
      <c r="M72" s="55">
        <v>9.2999999999999992E-3</v>
      </c>
      <c r="N72" s="54">
        <v>6471.45</v>
      </c>
      <c r="O72" s="54">
        <v>58.84</v>
      </c>
      <c r="P72" s="54">
        <v>1.9730000000000001</v>
      </c>
      <c r="Q72" s="54">
        <v>17.934999999999999</v>
      </c>
      <c r="R72" s="56">
        <v>3.09E-2</v>
      </c>
      <c r="S72" s="56">
        <v>1.54E-2</v>
      </c>
    </row>
    <row r="73" spans="1:19" ht="16.2" thickBot="1" x14ac:dyDescent="0.3">
      <c r="A73" s="52" t="s">
        <v>579</v>
      </c>
      <c r="B73" s="52" t="s">
        <v>457</v>
      </c>
      <c r="C73" s="52" t="s">
        <v>580</v>
      </c>
      <c r="D73" s="52" t="s">
        <v>444</v>
      </c>
      <c r="F73" s="51" t="e">
        <f t="shared" si="2"/>
        <v>#N/A</v>
      </c>
      <c r="I73" s="57">
        <v>72</v>
      </c>
      <c r="J73" s="53">
        <v>600269</v>
      </c>
      <c r="K73" s="54" t="s">
        <v>581</v>
      </c>
      <c r="L73" s="54">
        <v>4.8600000000000003</v>
      </c>
      <c r="M73" s="59">
        <v>-8.2000000000000007E-3</v>
      </c>
      <c r="N73" s="54">
        <v>7836.12</v>
      </c>
      <c r="O73" s="54">
        <v>113.5</v>
      </c>
      <c r="P73" s="54">
        <v>0.83799999999999997</v>
      </c>
      <c r="Q73" s="54">
        <v>11.071999999999999</v>
      </c>
      <c r="R73" s="56">
        <v>3.09E-2</v>
      </c>
      <c r="S73" s="56">
        <v>2.06E-2</v>
      </c>
    </row>
    <row r="74" spans="1:19" ht="16.2" thickBot="1" x14ac:dyDescent="0.3">
      <c r="A74" s="52" t="s">
        <v>582</v>
      </c>
      <c r="B74" s="52" t="s">
        <v>583</v>
      </c>
      <c r="C74" s="52" t="s">
        <v>584</v>
      </c>
      <c r="D74" s="52" t="s">
        <v>444</v>
      </c>
      <c r="F74" s="51" t="e">
        <f t="shared" si="2"/>
        <v>#N/A</v>
      </c>
      <c r="I74" s="57">
        <v>73</v>
      </c>
      <c r="J74" s="53">
        <v>600310</v>
      </c>
      <c r="K74" s="54" t="s">
        <v>585</v>
      </c>
      <c r="L74" s="54">
        <v>9.83</v>
      </c>
      <c r="M74" s="55">
        <v>5.1000000000000004E-3</v>
      </c>
      <c r="N74" s="54">
        <v>7973.05</v>
      </c>
      <c r="O74" s="54">
        <v>81.37</v>
      </c>
      <c r="P74" s="54">
        <v>3.0590000000000002</v>
      </c>
      <c r="Q74" s="54">
        <v>83.320999999999998</v>
      </c>
      <c r="R74" s="56">
        <v>3.0499999999999999E-2</v>
      </c>
      <c r="S74" s="56">
        <v>1.7600000000000001E-2</v>
      </c>
    </row>
    <row r="75" spans="1:19" ht="16.2" thickBot="1" x14ac:dyDescent="0.3">
      <c r="A75" s="52" t="s">
        <v>586</v>
      </c>
      <c r="B75" s="52" t="s">
        <v>587</v>
      </c>
      <c r="C75" s="52" t="s">
        <v>588</v>
      </c>
      <c r="D75" s="52" t="s">
        <v>444</v>
      </c>
      <c r="F75" s="51" t="e">
        <f t="shared" si="2"/>
        <v>#N/A</v>
      </c>
      <c r="I75" s="57">
        <v>74</v>
      </c>
      <c r="J75" s="53">
        <v>600028</v>
      </c>
      <c r="K75" s="54" t="s">
        <v>167</v>
      </c>
      <c r="L75" s="54">
        <v>4.9800000000000004</v>
      </c>
      <c r="M75" s="59">
        <v>-2E-3</v>
      </c>
      <c r="N75" s="54">
        <v>32246.23</v>
      </c>
      <c r="O75" s="54">
        <v>5983.26</v>
      </c>
      <c r="P75" s="54">
        <v>0.88800000000000001</v>
      </c>
      <c r="Q75" s="54">
        <v>16.425999999999998</v>
      </c>
      <c r="R75" s="56">
        <v>3.0099999999999998E-2</v>
      </c>
      <c r="S75" s="56">
        <v>3.9600000000000003E-2</v>
      </c>
    </row>
    <row r="76" spans="1:19" ht="16.2" thickBot="1" x14ac:dyDescent="0.3">
      <c r="A76" s="52" t="s">
        <v>589</v>
      </c>
      <c r="B76" s="52" t="s">
        <v>220</v>
      </c>
      <c r="C76" s="52" t="s">
        <v>590</v>
      </c>
      <c r="D76" s="52" t="s">
        <v>444</v>
      </c>
      <c r="F76" s="51" t="e">
        <f t="shared" si="2"/>
        <v>#N/A</v>
      </c>
      <c r="I76" s="57">
        <v>75</v>
      </c>
      <c r="J76" s="53">
        <v>525</v>
      </c>
      <c r="K76" s="54" t="s">
        <v>591</v>
      </c>
      <c r="L76" s="54">
        <v>14.56</v>
      </c>
      <c r="M76" s="55">
        <v>4.1000000000000003E-3</v>
      </c>
      <c r="N76" s="54">
        <v>2517.77</v>
      </c>
      <c r="O76" s="54">
        <v>84.56</v>
      </c>
      <c r="P76" s="54">
        <v>1.7969999999999999</v>
      </c>
      <c r="Q76" s="54">
        <v>132.928</v>
      </c>
      <c r="R76" s="56">
        <v>0.03</v>
      </c>
      <c r="S76" s="56">
        <v>8.9999999999999993E-3</v>
      </c>
    </row>
    <row r="77" spans="1:19" ht="16.2" thickBot="1" x14ac:dyDescent="0.3">
      <c r="A77" s="52" t="s">
        <v>592</v>
      </c>
      <c r="B77" s="52" t="s">
        <v>593</v>
      </c>
      <c r="C77" s="52" t="s">
        <v>594</v>
      </c>
      <c r="D77" s="52" t="s">
        <v>444</v>
      </c>
      <c r="F77" s="51" t="e">
        <f t="shared" si="2"/>
        <v>#N/A</v>
      </c>
      <c r="I77" s="57">
        <v>76</v>
      </c>
      <c r="J77" s="53">
        <v>600030</v>
      </c>
      <c r="K77" s="54" t="s">
        <v>595</v>
      </c>
      <c r="L77" s="54">
        <v>16.940000000000001</v>
      </c>
      <c r="M77" s="59">
        <v>-1.8E-3</v>
      </c>
      <c r="N77" s="54">
        <v>149680.63</v>
      </c>
      <c r="O77" s="54">
        <v>2008.7</v>
      </c>
      <c r="P77" s="54">
        <v>1.5429999999999999</v>
      </c>
      <c r="Q77" s="54">
        <v>16.228000000000002</v>
      </c>
      <c r="R77" s="56">
        <v>2.9499999999999998E-2</v>
      </c>
      <c r="S77" s="56">
        <v>1.5100000000000001E-2</v>
      </c>
    </row>
    <row r="78" spans="1:19" ht="16.2" thickBot="1" x14ac:dyDescent="0.3">
      <c r="A78" s="52" t="s">
        <v>596</v>
      </c>
      <c r="B78" s="52" t="s">
        <v>597</v>
      </c>
      <c r="C78" s="52" t="s">
        <v>598</v>
      </c>
      <c r="D78" s="52" t="s">
        <v>444</v>
      </c>
      <c r="F78" s="51" t="e">
        <f t="shared" si="2"/>
        <v>#N/A</v>
      </c>
      <c r="I78" s="57">
        <v>77</v>
      </c>
      <c r="J78" s="53">
        <v>601566</v>
      </c>
      <c r="K78" s="54" t="s">
        <v>599</v>
      </c>
      <c r="L78" s="54">
        <v>16.989999999999998</v>
      </c>
      <c r="M78" s="55">
        <v>1.1299999999999999E-2</v>
      </c>
      <c r="N78" s="54">
        <v>3549.23</v>
      </c>
      <c r="O78" s="54">
        <v>97.63</v>
      </c>
      <c r="P78" s="54">
        <v>2.3740000000000001</v>
      </c>
      <c r="Q78" s="54">
        <v>24.123000000000001</v>
      </c>
      <c r="R78" s="56">
        <v>2.9399999999999999E-2</v>
      </c>
      <c r="S78" s="56">
        <v>5.8900000000000001E-2</v>
      </c>
    </row>
    <row r="79" spans="1:19" ht="16.2" thickBot="1" x14ac:dyDescent="0.3">
      <c r="A79" s="52" t="s">
        <v>600</v>
      </c>
      <c r="B79" s="52" t="s">
        <v>474</v>
      </c>
      <c r="C79" s="52" t="s">
        <v>601</v>
      </c>
      <c r="D79" s="52" t="s">
        <v>444</v>
      </c>
      <c r="F79" s="51" t="e">
        <f t="shared" si="2"/>
        <v>#N/A</v>
      </c>
      <c r="I79" s="57">
        <v>78</v>
      </c>
      <c r="J79" s="53">
        <v>600033</v>
      </c>
      <c r="K79" s="54" t="s">
        <v>490</v>
      </c>
      <c r="L79" s="54">
        <v>3.41</v>
      </c>
      <c r="M79" s="55">
        <v>5.8999999999999999E-3</v>
      </c>
      <c r="N79" s="54">
        <v>7229.69</v>
      </c>
      <c r="O79" s="54">
        <v>93.58</v>
      </c>
      <c r="P79" s="54">
        <v>1.1779999999999999</v>
      </c>
      <c r="Q79" s="54">
        <v>16.573</v>
      </c>
      <c r="R79" s="56">
        <v>2.93E-2</v>
      </c>
      <c r="S79" s="56">
        <v>2.93E-2</v>
      </c>
    </row>
    <row r="80" spans="1:19" ht="16.2" thickBot="1" x14ac:dyDescent="0.3">
      <c r="A80" s="52" t="s">
        <v>602</v>
      </c>
      <c r="B80" s="52" t="s">
        <v>603</v>
      </c>
      <c r="C80" s="52" t="s">
        <v>604</v>
      </c>
      <c r="D80" s="52" t="s">
        <v>444</v>
      </c>
      <c r="F80" s="51" t="e">
        <f t="shared" si="2"/>
        <v>#N/A</v>
      </c>
      <c r="I80" s="57">
        <v>79</v>
      </c>
      <c r="J80" s="53">
        <v>2</v>
      </c>
      <c r="K80" s="54" t="s">
        <v>605</v>
      </c>
      <c r="L80" s="54">
        <v>24.59</v>
      </c>
      <c r="M80" s="59">
        <v>-3.8699999999999998E-2</v>
      </c>
      <c r="N80" s="54">
        <v>513472.64</v>
      </c>
      <c r="O80" s="54">
        <v>2618.58</v>
      </c>
      <c r="P80" s="54">
        <v>2.9289999999999998</v>
      </c>
      <c r="Q80" s="54">
        <v>14.832000000000001</v>
      </c>
      <c r="R80" s="56">
        <v>2.93E-2</v>
      </c>
      <c r="S80" s="56">
        <v>2.0299999999999999E-2</v>
      </c>
    </row>
    <row r="81" spans="1:19" ht="16.2" thickBot="1" x14ac:dyDescent="0.3">
      <c r="A81" s="52" t="s">
        <v>606</v>
      </c>
      <c r="B81" s="52" t="s">
        <v>341</v>
      </c>
      <c r="C81" s="52" t="s">
        <v>607</v>
      </c>
      <c r="D81" s="52" t="s">
        <v>444</v>
      </c>
      <c r="F81" s="51" t="e">
        <f t="shared" si="2"/>
        <v>#N/A</v>
      </c>
      <c r="I81" s="57">
        <v>80</v>
      </c>
      <c r="J81" s="53">
        <v>600018</v>
      </c>
      <c r="K81" s="54" t="s">
        <v>472</v>
      </c>
      <c r="L81" s="54">
        <v>5.27</v>
      </c>
      <c r="M81" s="59">
        <v>-1.1299999999999999E-2</v>
      </c>
      <c r="N81" s="54">
        <v>23056.89</v>
      </c>
      <c r="O81" s="54">
        <v>1221.25</v>
      </c>
      <c r="P81" s="54">
        <v>2.1389999999999998</v>
      </c>
      <c r="Q81" s="54">
        <v>19.454000000000001</v>
      </c>
      <c r="R81" s="56">
        <v>2.92E-2</v>
      </c>
      <c r="S81" s="56">
        <v>2.87E-2</v>
      </c>
    </row>
    <row r="82" spans="1:19" ht="16.2" thickBot="1" x14ac:dyDescent="0.3">
      <c r="A82" s="52" t="s">
        <v>608</v>
      </c>
      <c r="B82" s="52" t="s">
        <v>609</v>
      </c>
      <c r="C82" s="52" t="s">
        <v>610</v>
      </c>
      <c r="D82" s="52" t="s">
        <v>444</v>
      </c>
      <c r="F82" s="51" t="e">
        <f t="shared" si="2"/>
        <v>#N/A</v>
      </c>
      <c r="I82" s="57">
        <v>81</v>
      </c>
      <c r="J82" s="53">
        <v>828</v>
      </c>
      <c r="K82" s="54" t="s">
        <v>390</v>
      </c>
      <c r="L82" s="54">
        <v>10.27</v>
      </c>
      <c r="M82" s="55">
        <v>1E-3</v>
      </c>
      <c r="N82" s="54">
        <v>5274.42</v>
      </c>
      <c r="O82" s="54">
        <v>106.76</v>
      </c>
      <c r="P82" s="54">
        <v>2.3969999999999998</v>
      </c>
      <c r="Q82" s="54">
        <v>12.866</v>
      </c>
      <c r="R82" s="56">
        <v>2.92E-2</v>
      </c>
      <c r="S82" s="56">
        <v>2.4299999999999999E-2</v>
      </c>
    </row>
    <row r="83" spans="1:19" ht="16.2" thickBot="1" x14ac:dyDescent="0.3">
      <c r="A83" s="52" t="s">
        <v>611</v>
      </c>
      <c r="B83" s="52" t="s">
        <v>612</v>
      </c>
      <c r="C83" s="52" t="s">
        <v>613</v>
      </c>
      <c r="D83" s="52" t="s">
        <v>444</v>
      </c>
      <c r="F83" s="51" t="e">
        <f t="shared" si="2"/>
        <v>#N/A</v>
      </c>
      <c r="I83" s="57">
        <v>82</v>
      </c>
      <c r="J83" s="53">
        <v>402</v>
      </c>
      <c r="K83" s="54" t="s">
        <v>351</v>
      </c>
      <c r="L83" s="54">
        <v>13.7</v>
      </c>
      <c r="M83" s="55">
        <v>2.7799999999999998E-2</v>
      </c>
      <c r="N83" s="54">
        <v>332910.01</v>
      </c>
      <c r="O83" s="54">
        <v>409.48</v>
      </c>
      <c r="P83" s="54">
        <v>1.68</v>
      </c>
      <c r="Q83" s="54">
        <v>19.018999999999998</v>
      </c>
      <c r="R83" s="56">
        <v>2.92E-2</v>
      </c>
      <c r="S83" s="56">
        <v>1.8200000000000001E-2</v>
      </c>
    </row>
    <row r="84" spans="1:19" ht="16.2" thickBot="1" x14ac:dyDescent="0.3">
      <c r="A84" s="52" t="s">
        <v>614</v>
      </c>
      <c r="B84" s="52" t="s">
        <v>168</v>
      </c>
      <c r="C84" s="52" t="s">
        <v>615</v>
      </c>
      <c r="D84" s="52" t="s">
        <v>444</v>
      </c>
      <c r="F84" s="51" t="e">
        <f t="shared" si="2"/>
        <v>#N/A</v>
      </c>
      <c r="I84" s="57">
        <v>83</v>
      </c>
      <c r="J84" s="53">
        <v>333</v>
      </c>
      <c r="K84" s="54" t="s">
        <v>347</v>
      </c>
      <c r="L84" s="54">
        <v>27.86</v>
      </c>
      <c r="M84" s="59">
        <v>-7.4999999999999997E-3</v>
      </c>
      <c r="N84" s="54">
        <v>77213.179999999993</v>
      </c>
      <c r="O84" s="54">
        <v>1783.34</v>
      </c>
      <c r="P84" s="54">
        <v>3.6589999999999998</v>
      </c>
      <c r="Q84" s="54">
        <v>13.436999999999999</v>
      </c>
      <c r="R84" s="56">
        <v>2.87E-2</v>
      </c>
      <c r="S84" s="56">
        <v>2.3699999999999999E-2</v>
      </c>
    </row>
    <row r="85" spans="1:19" ht="16.2" thickBot="1" x14ac:dyDescent="0.3">
      <c r="A85" s="52" t="s">
        <v>616</v>
      </c>
      <c r="B85" s="52" t="s">
        <v>518</v>
      </c>
      <c r="C85" s="52" t="s">
        <v>617</v>
      </c>
      <c r="D85" s="52" t="s">
        <v>444</v>
      </c>
      <c r="F85" s="51" t="e">
        <f t="shared" si="2"/>
        <v>#N/A</v>
      </c>
      <c r="I85" s="57">
        <v>84</v>
      </c>
      <c r="J85" s="53">
        <v>601788</v>
      </c>
      <c r="K85" s="54" t="s">
        <v>618</v>
      </c>
      <c r="L85" s="54">
        <v>17.8</v>
      </c>
      <c r="M85" s="55">
        <v>1.6999999999999999E-3</v>
      </c>
      <c r="N85" s="54">
        <v>32514.21</v>
      </c>
      <c r="O85" s="54">
        <v>769.03</v>
      </c>
      <c r="P85" s="54">
        <v>1.7150000000000001</v>
      </c>
      <c r="Q85" s="54">
        <v>12.13</v>
      </c>
      <c r="R85" s="56">
        <v>2.87E-2</v>
      </c>
      <c r="S85" s="56">
        <v>3.3999999999999998E-3</v>
      </c>
    </row>
    <row r="86" spans="1:19" ht="16.2" thickBot="1" x14ac:dyDescent="0.3">
      <c r="A86" s="52" t="s">
        <v>619</v>
      </c>
      <c r="B86" s="52" t="s">
        <v>481</v>
      </c>
      <c r="C86" s="52" t="s">
        <v>620</v>
      </c>
      <c r="D86" s="52" t="s">
        <v>444</v>
      </c>
      <c r="F86" s="51" t="e">
        <f t="shared" si="2"/>
        <v>#N/A</v>
      </c>
      <c r="I86" s="57">
        <v>85</v>
      </c>
      <c r="J86" s="53">
        <v>600674</v>
      </c>
      <c r="K86" s="54" t="s">
        <v>621</v>
      </c>
      <c r="L86" s="54">
        <v>9.43</v>
      </c>
      <c r="M86" s="59">
        <v>-1.0500000000000001E-2</v>
      </c>
      <c r="N86" s="54">
        <v>21789.279999999999</v>
      </c>
      <c r="O86" s="54">
        <v>415.12</v>
      </c>
      <c r="P86" s="54">
        <v>2.2549999999999999</v>
      </c>
      <c r="Q86" s="54">
        <v>11.121</v>
      </c>
      <c r="R86" s="56">
        <v>2.86E-2</v>
      </c>
      <c r="S86" s="56">
        <v>1.5900000000000001E-2</v>
      </c>
    </row>
    <row r="87" spans="1:19" ht="16.2" thickBot="1" x14ac:dyDescent="0.3">
      <c r="A87" s="52" t="s">
        <v>622</v>
      </c>
      <c r="B87" s="52" t="s">
        <v>623</v>
      </c>
      <c r="C87" s="52" t="s">
        <v>624</v>
      </c>
      <c r="D87" s="52" t="s">
        <v>444</v>
      </c>
      <c r="F87" s="51" t="e">
        <f t="shared" si="2"/>
        <v>#N/A</v>
      </c>
      <c r="I87" s="57">
        <v>86</v>
      </c>
      <c r="J87" s="53">
        <v>27</v>
      </c>
      <c r="K87" s="54" t="s">
        <v>335</v>
      </c>
      <c r="L87" s="54">
        <v>7.01</v>
      </c>
      <c r="M87" s="59">
        <v>-1.1299999999999999E-2</v>
      </c>
      <c r="N87" s="54">
        <v>9658.19</v>
      </c>
      <c r="O87" s="54">
        <v>277.91000000000003</v>
      </c>
      <c r="P87" s="54">
        <v>1.319</v>
      </c>
      <c r="Q87" s="54">
        <v>16.905000000000001</v>
      </c>
      <c r="R87" s="56">
        <v>2.8500000000000001E-2</v>
      </c>
      <c r="S87" s="56">
        <v>1.9E-2</v>
      </c>
    </row>
    <row r="88" spans="1:19" ht="16.2" thickBot="1" x14ac:dyDescent="0.3">
      <c r="A88" s="52" t="s">
        <v>625</v>
      </c>
      <c r="B88" s="52" t="s">
        <v>369</v>
      </c>
      <c r="C88" s="52" t="s">
        <v>626</v>
      </c>
      <c r="D88" s="52" t="s">
        <v>444</v>
      </c>
      <c r="F88" s="51" t="e">
        <f t="shared" si="2"/>
        <v>#N/A</v>
      </c>
      <c r="I88" s="57">
        <v>87</v>
      </c>
      <c r="J88" s="53">
        <v>600350</v>
      </c>
      <c r="K88" s="54" t="s">
        <v>534</v>
      </c>
      <c r="L88" s="54">
        <v>6.29</v>
      </c>
      <c r="M88" s="55">
        <v>1.6000000000000001E-3</v>
      </c>
      <c r="N88" s="54">
        <v>4787.3500000000004</v>
      </c>
      <c r="O88" s="54">
        <v>302.62</v>
      </c>
      <c r="P88" s="54">
        <v>1.3089999999999999</v>
      </c>
      <c r="Q88" s="54">
        <v>9.9429999999999996</v>
      </c>
      <c r="R88" s="56">
        <v>2.8500000000000001E-2</v>
      </c>
      <c r="S88" s="56">
        <v>3.0800000000000001E-2</v>
      </c>
    </row>
    <row r="89" spans="1:19" ht="16.2" thickBot="1" x14ac:dyDescent="0.3">
      <c r="A89" s="52" t="s">
        <v>627</v>
      </c>
      <c r="B89" s="52" t="s">
        <v>410</v>
      </c>
      <c r="C89" s="52" t="s">
        <v>628</v>
      </c>
      <c r="D89" s="52" t="s">
        <v>444</v>
      </c>
      <c r="F89" s="51" t="e">
        <f t="shared" si="2"/>
        <v>#N/A</v>
      </c>
      <c r="I89" s="57">
        <v>88</v>
      </c>
      <c r="J89" s="53">
        <v>600837</v>
      </c>
      <c r="K89" s="54" t="s">
        <v>629</v>
      </c>
      <c r="L89" s="54">
        <v>15.82</v>
      </c>
      <c r="M89" s="58">
        <v>0</v>
      </c>
      <c r="N89" s="54">
        <v>35066.1</v>
      </c>
      <c r="O89" s="54">
        <v>1677.91</v>
      </c>
      <c r="P89" s="54">
        <v>1.764</v>
      </c>
      <c r="Q89" s="54">
        <v>18.291</v>
      </c>
      <c r="R89" s="56">
        <v>2.8500000000000001E-2</v>
      </c>
      <c r="S89" s="56">
        <v>1.3100000000000001E-2</v>
      </c>
    </row>
    <row r="90" spans="1:19" ht="16.2" thickBot="1" x14ac:dyDescent="0.3">
      <c r="A90" s="52" t="s">
        <v>630</v>
      </c>
      <c r="B90" s="52" t="s">
        <v>631</v>
      </c>
      <c r="C90" s="52" t="s">
        <v>632</v>
      </c>
      <c r="D90" s="52" t="s">
        <v>444</v>
      </c>
      <c r="F90" s="51" t="e">
        <f t="shared" si="2"/>
        <v>#N/A</v>
      </c>
      <c r="I90" s="57">
        <v>89</v>
      </c>
      <c r="J90" s="53">
        <v>899</v>
      </c>
      <c r="K90" s="54" t="s">
        <v>633</v>
      </c>
      <c r="L90" s="54">
        <v>9.32</v>
      </c>
      <c r="M90" s="55">
        <v>8.6999999999999994E-3</v>
      </c>
      <c r="N90" s="54">
        <v>7919.92</v>
      </c>
      <c r="O90" s="54">
        <v>90.93</v>
      </c>
      <c r="P90" s="54">
        <v>1.962</v>
      </c>
      <c r="Q90" s="54">
        <v>16.14</v>
      </c>
      <c r="R90" s="56">
        <v>2.8400000000000002E-2</v>
      </c>
      <c r="S90" s="56">
        <v>7.1000000000000004E-3</v>
      </c>
    </row>
    <row r="91" spans="1:19" ht="16.2" thickBot="1" x14ac:dyDescent="0.3">
      <c r="A91" s="52" t="s">
        <v>634</v>
      </c>
      <c r="B91" s="52" t="s">
        <v>635</v>
      </c>
      <c r="C91" s="52" t="s">
        <v>636</v>
      </c>
      <c r="D91" s="52" t="s">
        <v>444</v>
      </c>
      <c r="F91" s="51">
        <f t="shared" si="2"/>
        <v>2.7300000000000001E-2</v>
      </c>
      <c r="I91" s="57">
        <v>90</v>
      </c>
      <c r="J91" s="53">
        <v>2498</v>
      </c>
      <c r="K91" s="54" t="s">
        <v>637</v>
      </c>
      <c r="L91" s="54">
        <v>4.66</v>
      </c>
      <c r="M91" s="55">
        <v>4.3E-3</v>
      </c>
      <c r="N91" s="54">
        <v>7724.86</v>
      </c>
      <c r="O91" s="54">
        <v>155.03</v>
      </c>
      <c r="P91" s="54">
        <v>3.7989999999999999</v>
      </c>
      <c r="Q91" s="54">
        <v>42.279000000000003</v>
      </c>
      <c r="R91" s="56">
        <v>2.8299999999999999E-2</v>
      </c>
      <c r="S91" s="56">
        <v>2.7699999999999999E-2</v>
      </c>
    </row>
    <row r="92" spans="1:19" ht="16.2" thickBot="1" x14ac:dyDescent="0.3">
      <c r="A92" s="52" t="s">
        <v>638</v>
      </c>
      <c r="B92" s="52" t="s">
        <v>372</v>
      </c>
      <c r="C92" s="52" t="s">
        <v>639</v>
      </c>
      <c r="D92" s="52" t="s">
        <v>444</v>
      </c>
      <c r="F92" s="51" t="e">
        <f t="shared" si="2"/>
        <v>#N/A</v>
      </c>
      <c r="I92" s="57">
        <v>91</v>
      </c>
      <c r="J92" s="53">
        <v>2202</v>
      </c>
      <c r="K92" s="54" t="s">
        <v>640</v>
      </c>
      <c r="L92" s="54">
        <v>17.12</v>
      </c>
      <c r="M92" s="59">
        <v>-1.21E-2</v>
      </c>
      <c r="N92" s="54">
        <v>61040.59</v>
      </c>
      <c r="O92" s="54">
        <v>433.79</v>
      </c>
      <c r="P92" s="54">
        <v>2.9620000000000002</v>
      </c>
      <c r="Q92" s="54">
        <v>15.762</v>
      </c>
      <c r="R92" s="56">
        <v>2.8000000000000001E-2</v>
      </c>
      <c r="S92" s="56">
        <v>2.3E-2</v>
      </c>
    </row>
    <row r="93" spans="1:19" ht="16.2" thickBot="1" x14ac:dyDescent="0.3">
      <c r="A93" s="52" t="s">
        <v>641</v>
      </c>
      <c r="B93" s="52" t="s">
        <v>599</v>
      </c>
      <c r="C93" s="52" t="s">
        <v>642</v>
      </c>
      <c r="D93" s="52" t="s">
        <v>444</v>
      </c>
      <c r="F93" s="51" t="e">
        <f t="shared" si="2"/>
        <v>#N/A</v>
      </c>
      <c r="I93" s="57">
        <v>92</v>
      </c>
      <c r="J93" s="53">
        <v>601766</v>
      </c>
      <c r="K93" s="54" t="s">
        <v>643</v>
      </c>
      <c r="L93" s="54">
        <v>9.7200000000000006</v>
      </c>
      <c r="M93" s="55">
        <v>3.5099999999999999E-2</v>
      </c>
      <c r="N93" s="54">
        <v>164413.31</v>
      </c>
      <c r="O93" s="54">
        <v>2503.4499999999998</v>
      </c>
      <c r="P93" s="54">
        <v>2.8039999999999998</v>
      </c>
      <c r="Q93" s="54">
        <v>20.667000000000002</v>
      </c>
      <c r="R93" s="56">
        <v>2.7799999999999998E-2</v>
      </c>
      <c r="S93" s="56">
        <v>6.3E-3</v>
      </c>
    </row>
    <row r="94" spans="1:19" ht="16.2" thickBot="1" x14ac:dyDescent="0.3">
      <c r="A94" s="52" t="s">
        <v>644</v>
      </c>
      <c r="B94" s="52" t="s">
        <v>574</v>
      </c>
      <c r="C94" s="52" t="s">
        <v>645</v>
      </c>
      <c r="D94" s="52" t="s">
        <v>444</v>
      </c>
      <c r="F94" s="51" t="e">
        <f t="shared" si="2"/>
        <v>#N/A</v>
      </c>
      <c r="I94" s="57">
        <v>93</v>
      </c>
      <c r="J94" s="53">
        <v>338</v>
      </c>
      <c r="K94" s="54" t="s">
        <v>646</v>
      </c>
      <c r="L94" s="54">
        <v>9.02</v>
      </c>
      <c r="M94" s="55">
        <v>1.01E-2</v>
      </c>
      <c r="N94" s="54">
        <v>14453.72</v>
      </c>
      <c r="O94" s="54">
        <v>354.93</v>
      </c>
      <c r="P94" s="54">
        <v>1.1419999999999999</v>
      </c>
      <c r="Q94" s="54">
        <v>29.253</v>
      </c>
      <c r="R94" s="56">
        <v>2.7699999999999999E-2</v>
      </c>
      <c r="S94" s="56">
        <v>1.3899999999999999E-2</v>
      </c>
    </row>
    <row r="95" spans="1:19" ht="16.2" thickBot="1" x14ac:dyDescent="0.3">
      <c r="A95" s="52" t="s">
        <v>647</v>
      </c>
      <c r="B95" s="52" t="s">
        <v>648</v>
      </c>
      <c r="C95" s="52" t="s">
        <v>649</v>
      </c>
      <c r="D95" s="52" t="s">
        <v>444</v>
      </c>
      <c r="F95" s="51" t="e">
        <f t="shared" si="2"/>
        <v>#N/A</v>
      </c>
      <c r="I95" s="57">
        <v>94</v>
      </c>
      <c r="J95" s="53">
        <v>2142</v>
      </c>
      <c r="K95" s="54" t="s">
        <v>408</v>
      </c>
      <c r="L95" s="54">
        <v>16.25</v>
      </c>
      <c r="M95" s="59">
        <v>-6.1000000000000004E-3</v>
      </c>
      <c r="N95" s="54">
        <v>55930.75</v>
      </c>
      <c r="O95" s="54">
        <v>633.72</v>
      </c>
      <c r="P95" s="54">
        <v>1.3939999999999999</v>
      </c>
      <c r="Q95" s="54">
        <v>9.2880000000000003</v>
      </c>
      <c r="R95" s="56">
        <v>2.7699999999999999E-2</v>
      </c>
      <c r="S95" s="56">
        <v>2.3099999999999999E-2</v>
      </c>
    </row>
    <row r="96" spans="1:19" ht="16.2" thickBot="1" x14ac:dyDescent="0.3">
      <c r="A96" s="52" t="s">
        <v>650</v>
      </c>
      <c r="B96" s="52" t="s">
        <v>406</v>
      </c>
      <c r="C96" s="52" t="s">
        <v>651</v>
      </c>
      <c r="D96" s="52" t="s">
        <v>444</v>
      </c>
      <c r="F96" s="51" t="e">
        <f t="shared" si="2"/>
        <v>#N/A</v>
      </c>
      <c r="I96" s="57">
        <v>95</v>
      </c>
      <c r="J96" s="53">
        <v>600009</v>
      </c>
      <c r="K96" s="54" t="s">
        <v>455</v>
      </c>
      <c r="L96" s="54">
        <v>28.21</v>
      </c>
      <c r="M96" s="59">
        <v>-4.5999999999999999E-3</v>
      </c>
      <c r="N96" s="54">
        <v>12493.26</v>
      </c>
      <c r="O96" s="54">
        <v>543.59</v>
      </c>
      <c r="P96" s="54">
        <v>2.7</v>
      </c>
      <c r="Q96" s="54">
        <v>21.36</v>
      </c>
      <c r="R96" s="56">
        <v>2.7699999999999999E-2</v>
      </c>
      <c r="S96" s="56">
        <v>1.24E-2</v>
      </c>
    </row>
    <row r="97" spans="1:19" ht="16.2" thickBot="1" x14ac:dyDescent="0.3">
      <c r="A97" s="52" t="s">
        <v>652</v>
      </c>
      <c r="B97" s="52" t="s">
        <v>653</v>
      </c>
      <c r="C97" s="52" t="s">
        <v>654</v>
      </c>
      <c r="D97" s="52" t="s">
        <v>444</v>
      </c>
      <c r="F97" s="51" t="e">
        <f t="shared" si="2"/>
        <v>#N/A</v>
      </c>
      <c r="I97" s="57">
        <v>96</v>
      </c>
      <c r="J97" s="53">
        <v>600170</v>
      </c>
      <c r="K97" s="54" t="s">
        <v>655</v>
      </c>
      <c r="L97" s="54">
        <v>4.5599999999999996</v>
      </c>
      <c r="M97" s="59">
        <v>-1.9400000000000001E-2</v>
      </c>
      <c r="N97" s="54">
        <v>34058.42</v>
      </c>
      <c r="O97" s="54">
        <v>325.20999999999998</v>
      </c>
      <c r="P97" s="54">
        <v>1.512</v>
      </c>
      <c r="Q97" s="54">
        <v>16.32</v>
      </c>
      <c r="R97" s="56">
        <v>2.7400000000000001E-2</v>
      </c>
      <c r="S97" s="56">
        <v>2.81E-2</v>
      </c>
    </row>
    <row r="98" spans="1:19" ht="16.2" thickBot="1" x14ac:dyDescent="0.3">
      <c r="A98" s="52" t="s">
        <v>656</v>
      </c>
      <c r="B98" s="52" t="s">
        <v>495</v>
      </c>
      <c r="C98" s="52" t="s">
        <v>657</v>
      </c>
      <c r="D98" s="52" t="s">
        <v>444</v>
      </c>
      <c r="F98" s="51" t="e">
        <f>VLOOKUP(B98,K98:S198,8,FALSE)</f>
        <v>#N/A</v>
      </c>
      <c r="I98" s="57">
        <v>97</v>
      </c>
      <c r="J98" s="53">
        <v>600398</v>
      </c>
      <c r="K98" s="54" t="s">
        <v>658</v>
      </c>
      <c r="L98" s="54">
        <v>12.06</v>
      </c>
      <c r="M98" s="58">
        <v>0</v>
      </c>
      <c r="N98" s="54">
        <v>5027.05</v>
      </c>
      <c r="O98" s="54">
        <v>541.83000000000004</v>
      </c>
      <c r="P98" s="54">
        <v>6.9790000000000001</v>
      </c>
      <c r="Q98" s="54">
        <v>17.806999999999999</v>
      </c>
      <c r="R98" s="56">
        <v>2.7400000000000001E-2</v>
      </c>
      <c r="S98" s="56">
        <v>3.15E-2</v>
      </c>
    </row>
    <row r="99" spans="1:19" ht="16.2" thickBot="1" x14ac:dyDescent="0.3">
      <c r="A99" s="52" t="s">
        <v>659</v>
      </c>
      <c r="B99" s="52" t="s">
        <v>376</v>
      </c>
      <c r="C99" s="52" t="s">
        <v>660</v>
      </c>
      <c r="D99" s="52" t="s">
        <v>444</v>
      </c>
      <c r="F99" s="51" t="e">
        <f>VLOOKUP(B99,K99:S199,8,FALSE)</f>
        <v>#N/A</v>
      </c>
      <c r="I99" s="57">
        <v>98</v>
      </c>
      <c r="J99" s="53">
        <v>601369</v>
      </c>
      <c r="K99" s="54" t="s">
        <v>635</v>
      </c>
      <c r="L99" s="54">
        <v>7.32</v>
      </c>
      <c r="M99" s="55">
        <v>2.9499999999999998E-2</v>
      </c>
      <c r="N99" s="54">
        <v>15894.15</v>
      </c>
      <c r="O99" s="54">
        <v>119.96</v>
      </c>
      <c r="P99" s="54">
        <v>2.036</v>
      </c>
      <c r="Q99" s="54">
        <v>33.475999999999999</v>
      </c>
      <c r="R99" s="56">
        <v>2.7300000000000001E-2</v>
      </c>
      <c r="S99" s="56">
        <v>3.4200000000000001E-2</v>
      </c>
    </row>
    <row r="100" spans="1:19" ht="16.2" thickBot="1" x14ac:dyDescent="0.3">
      <c r="A100" s="52" t="s">
        <v>661</v>
      </c>
      <c r="B100" s="52" t="s">
        <v>262</v>
      </c>
      <c r="C100" s="52" t="s">
        <v>662</v>
      </c>
      <c r="D100" s="52" t="s">
        <v>444</v>
      </c>
      <c r="F100" s="51" t="e">
        <f>VLOOKUP(B100,K100:S200,8,FALSE)</f>
        <v>#N/A</v>
      </c>
      <c r="I100" s="57">
        <v>99</v>
      </c>
      <c r="J100" s="53">
        <v>600000</v>
      </c>
      <c r="K100" s="54" t="s">
        <v>442</v>
      </c>
      <c r="L100" s="54">
        <v>16.420000000000002</v>
      </c>
      <c r="M100" s="59">
        <v>-1.1999999999999999E-3</v>
      </c>
      <c r="N100" s="54">
        <v>32752.16</v>
      </c>
      <c r="O100" s="54">
        <v>3549.72</v>
      </c>
      <c r="P100" s="54">
        <v>1.125</v>
      </c>
      <c r="Q100" s="54">
        <v>6.6390000000000002</v>
      </c>
      <c r="R100" s="56">
        <v>2.7E-2</v>
      </c>
      <c r="S100" s="56">
        <v>3.9800000000000002E-2</v>
      </c>
    </row>
    <row r="101" spans="1:19" ht="16.2" thickBot="1" x14ac:dyDescent="0.3">
      <c r="A101" s="52" t="s">
        <v>663</v>
      </c>
      <c r="B101" s="52" t="s">
        <v>664</v>
      </c>
      <c r="C101" s="52" t="s">
        <v>665</v>
      </c>
      <c r="D101" s="52" t="s">
        <v>444</v>
      </c>
      <c r="F101" s="51" t="e">
        <f>VLOOKUP(B101,K101:S201,8,FALSE)</f>
        <v>#N/A</v>
      </c>
      <c r="I101" s="66">
        <v>100</v>
      </c>
      <c r="J101" s="67">
        <v>2146</v>
      </c>
      <c r="K101" s="68" t="s">
        <v>666</v>
      </c>
      <c r="L101" s="68">
        <v>8.15</v>
      </c>
      <c r="M101" s="69">
        <v>-2.2800000000000001E-2</v>
      </c>
      <c r="N101" s="68">
        <v>32390.55</v>
      </c>
      <c r="O101" s="68">
        <v>354.38</v>
      </c>
      <c r="P101" s="68">
        <v>1.702</v>
      </c>
      <c r="Q101" s="68">
        <v>13.159000000000001</v>
      </c>
      <c r="R101" s="70">
        <v>2.7E-2</v>
      </c>
      <c r="S101" s="70">
        <v>1.0800000000000001E-2</v>
      </c>
    </row>
    <row r="104" spans="1:19" ht="16.2" thickBot="1" x14ac:dyDescent="0.3">
      <c r="A104" s="71" t="s">
        <v>667</v>
      </c>
      <c r="B104" s="71">
        <v>651</v>
      </c>
      <c r="C104" s="72" t="s">
        <v>668</v>
      </c>
      <c r="D104" s="73" t="s">
        <v>669</v>
      </c>
      <c r="E104" s="73">
        <v>8.9499999999999993</v>
      </c>
      <c r="F104" s="73">
        <v>7.8</v>
      </c>
      <c r="G104" s="73">
        <v>-4.5199999999999996</v>
      </c>
    </row>
    <row r="105" spans="1:19" ht="16.2" thickBot="1" x14ac:dyDescent="0.3">
      <c r="A105" s="71" t="s">
        <v>670</v>
      </c>
      <c r="B105" s="71">
        <v>601006</v>
      </c>
      <c r="C105" s="72" t="s">
        <v>668</v>
      </c>
      <c r="D105" s="73" t="s">
        <v>671</v>
      </c>
      <c r="E105" s="73">
        <v>8.74</v>
      </c>
      <c r="F105" s="73">
        <v>6.98</v>
      </c>
      <c r="G105" s="73">
        <v>-36.01</v>
      </c>
    </row>
    <row r="106" spans="1:19" ht="16.2" thickBot="1" x14ac:dyDescent="0.3">
      <c r="A106" s="71" t="s">
        <v>672</v>
      </c>
      <c r="B106" s="71">
        <v>600066</v>
      </c>
      <c r="C106" s="72" t="s">
        <v>668</v>
      </c>
      <c r="D106" s="73" t="s">
        <v>673</v>
      </c>
      <c r="E106" s="73">
        <v>13.79</v>
      </c>
      <c r="F106" s="73">
        <v>6.8</v>
      </c>
      <c r="G106" s="73">
        <v>12.21</v>
      </c>
    </row>
    <row r="107" spans="1:19" ht="16.2" thickBot="1" x14ac:dyDescent="0.3">
      <c r="A107" s="71" t="s">
        <v>674</v>
      </c>
      <c r="B107" s="71">
        <v>600469</v>
      </c>
      <c r="C107" s="72" t="s">
        <v>668</v>
      </c>
      <c r="D107" s="73" t="s">
        <v>675</v>
      </c>
      <c r="E107" s="73">
        <v>20.57</v>
      </c>
      <c r="F107" s="73">
        <v>6.56</v>
      </c>
      <c r="G107" s="73">
        <v>-11.51</v>
      </c>
    </row>
    <row r="108" spans="1:19" ht="16.2" thickBot="1" x14ac:dyDescent="0.3">
      <c r="A108" s="71" t="s">
        <v>676</v>
      </c>
      <c r="B108" s="71">
        <v>600011</v>
      </c>
      <c r="C108" s="72" t="s">
        <v>668</v>
      </c>
      <c r="D108" s="73" t="s">
        <v>677</v>
      </c>
      <c r="E108" s="73">
        <v>9.8699999999999992</v>
      </c>
      <c r="F108" s="73">
        <v>6.43</v>
      </c>
      <c r="G108" s="73">
        <v>-27.98</v>
      </c>
    </row>
    <row r="109" spans="1:19" ht="16.2" thickBot="1" x14ac:dyDescent="0.3">
      <c r="A109" s="71" t="s">
        <v>678</v>
      </c>
      <c r="B109" s="71">
        <v>600104</v>
      </c>
      <c r="C109" s="72" t="s">
        <v>668</v>
      </c>
      <c r="D109" s="73" t="s">
        <v>679</v>
      </c>
      <c r="E109" s="73">
        <v>8.57</v>
      </c>
      <c r="F109" s="73">
        <v>5.78</v>
      </c>
      <c r="G109" s="73">
        <v>31.45</v>
      </c>
    </row>
    <row r="110" spans="1:19" ht="16.2" thickBot="1" x14ac:dyDescent="0.3">
      <c r="A110" s="71" t="s">
        <v>680</v>
      </c>
      <c r="B110" s="71">
        <v>600027</v>
      </c>
      <c r="C110" s="72" t="s">
        <v>668</v>
      </c>
      <c r="D110" s="73" t="s">
        <v>681</v>
      </c>
      <c r="E110" s="73">
        <v>6.83</v>
      </c>
      <c r="F110" s="73">
        <v>5.5</v>
      </c>
      <c r="G110" s="73">
        <v>-32.380000000000003</v>
      </c>
    </row>
    <row r="111" spans="1:19" ht="16.2" thickBot="1" x14ac:dyDescent="0.3">
      <c r="A111" s="71" t="s">
        <v>682</v>
      </c>
      <c r="B111" s="71">
        <v>601398</v>
      </c>
      <c r="C111" s="72" t="s">
        <v>668</v>
      </c>
      <c r="D111" s="73" t="s">
        <v>683</v>
      </c>
      <c r="E111" s="73">
        <v>5.73</v>
      </c>
      <c r="F111" s="73">
        <v>5.25</v>
      </c>
      <c r="G111" s="73">
        <v>-2.42</v>
      </c>
    </row>
    <row r="112" spans="1:19" ht="16.2" thickBot="1" x14ac:dyDescent="0.3">
      <c r="A112" s="71" t="s">
        <v>684</v>
      </c>
      <c r="B112" s="71">
        <v>601288</v>
      </c>
      <c r="C112" s="72" t="s">
        <v>668</v>
      </c>
      <c r="D112" s="73" t="s">
        <v>685</v>
      </c>
      <c r="E112" s="73">
        <v>5.8</v>
      </c>
      <c r="F112" s="73">
        <v>5.25</v>
      </c>
      <c r="G112" s="73">
        <v>-4.22</v>
      </c>
    </row>
    <row r="113" spans="1:7" ht="16.2" thickBot="1" x14ac:dyDescent="0.3">
      <c r="A113" s="71" t="s">
        <v>686</v>
      </c>
      <c r="B113" s="71">
        <v>601939</v>
      </c>
      <c r="C113" s="72" t="s">
        <v>668</v>
      </c>
      <c r="D113" s="73" t="s">
        <v>687</v>
      </c>
      <c r="E113" s="73">
        <v>5.74</v>
      </c>
      <c r="F113" s="73">
        <v>5.2</v>
      </c>
      <c r="G113" s="73">
        <v>-5.89</v>
      </c>
    </row>
    <row r="114" spans="1:7" ht="16.2" thickBot="1" x14ac:dyDescent="0.3">
      <c r="A114" s="71" t="s">
        <v>688</v>
      </c>
      <c r="B114" s="71">
        <v>600177</v>
      </c>
      <c r="C114" s="72" t="s">
        <v>668</v>
      </c>
      <c r="D114" s="73" t="s">
        <v>689</v>
      </c>
      <c r="E114" s="73">
        <v>6.39</v>
      </c>
      <c r="F114" s="73">
        <v>5.14</v>
      </c>
      <c r="G114" s="73">
        <v>2.91</v>
      </c>
    </row>
    <row r="115" spans="1:7" ht="16.2" thickBot="1" x14ac:dyDescent="0.3">
      <c r="A115" s="71" t="s">
        <v>690</v>
      </c>
      <c r="B115" s="71">
        <v>600182</v>
      </c>
      <c r="C115" s="72" t="s">
        <v>668</v>
      </c>
      <c r="D115" s="73" t="s">
        <v>691</v>
      </c>
      <c r="E115" s="73">
        <v>31.67</v>
      </c>
      <c r="F115" s="73">
        <v>5.12</v>
      </c>
      <c r="G115" s="73">
        <v>4.22</v>
      </c>
    </row>
    <row r="116" spans="1:7" ht="16.2" thickBot="1" x14ac:dyDescent="0.3">
      <c r="A116" s="71" t="s">
        <v>692</v>
      </c>
      <c r="B116" s="71">
        <v>601988</v>
      </c>
      <c r="C116" s="72" t="s">
        <v>668</v>
      </c>
      <c r="D116" s="73" t="s">
        <v>693</v>
      </c>
      <c r="E116" s="73">
        <v>5.87</v>
      </c>
      <c r="F116" s="73">
        <v>5.0999999999999996</v>
      </c>
      <c r="G116" s="73">
        <v>-17.940000000000001</v>
      </c>
    </row>
    <row r="117" spans="1:7" ht="16.2" thickBot="1" x14ac:dyDescent="0.3">
      <c r="A117" s="71" t="s">
        <v>694</v>
      </c>
      <c r="B117" s="71">
        <v>895</v>
      </c>
      <c r="C117" s="72" t="s">
        <v>668</v>
      </c>
      <c r="D117" s="73" t="s">
        <v>695</v>
      </c>
      <c r="E117" s="73">
        <v>18.47</v>
      </c>
      <c r="F117" s="73">
        <v>5.07</v>
      </c>
      <c r="G117" s="73">
        <v>26.58</v>
      </c>
    </row>
    <row r="118" spans="1:7" ht="16.2" thickBot="1" x14ac:dyDescent="0.3">
      <c r="A118" s="71" t="s">
        <v>696</v>
      </c>
      <c r="B118" s="71">
        <v>600894</v>
      </c>
      <c r="C118" s="72" t="s">
        <v>668</v>
      </c>
      <c r="D118" s="73" t="s">
        <v>697</v>
      </c>
      <c r="E118" s="73">
        <v>6</v>
      </c>
      <c r="F118" s="73">
        <v>5.0199999999999996</v>
      </c>
      <c r="G118" s="73">
        <v>-23.85</v>
      </c>
    </row>
    <row r="119" spans="1:7" ht="16.2" thickBot="1" x14ac:dyDescent="0.3">
      <c r="A119" s="71" t="s">
        <v>698</v>
      </c>
      <c r="B119" s="71">
        <v>600741</v>
      </c>
      <c r="C119" s="72" t="s">
        <v>668</v>
      </c>
      <c r="D119" s="73" t="s">
        <v>699</v>
      </c>
      <c r="E119" s="73">
        <v>9</v>
      </c>
      <c r="F119" s="73">
        <v>4.9800000000000004</v>
      </c>
      <c r="G119" s="73">
        <v>2.78</v>
      </c>
    </row>
    <row r="120" spans="1:7" ht="16.2" thickBot="1" x14ac:dyDescent="0.3">
      <c r="A120" s="71" t="s">
        <v>700</v>
      </c>
      <c r="B120" s="71">
        <v>600</v>
      </c>
      <c r="C120" s="72" t="s">
        <v>668</v>
      </c>
      <c r="D120" s="73" t="s">
        <v>701</v>
      </c>
      <c r="E120" s="73">
        <v>8.14</v>
      </c>
      <c r="F120" s="73">
        <v>4.71</v>
      </c>
      <c r="G120" s="73">
        <v>-21.83</v>
      </c>
    </row>
    <row r="121" spans="1:7" ht="16.2" thickBot="1" x14ac:dyDescent="0.3">
      <c r="A121" s="71" t="s">
        <v>702</v>
      </c>
      <c r="B121" s="71">
        <v>601818</v>
      </c>
      <c r="C121" s="72" t="s">
        <v>668</v>
      </c>
      <c r="D121" s="73" t="s">
        <v>703</v>
      </c>
      <c r="E121" s="73">
        <v>6.37</v>
      </c>
      <c r="F121" s="73">
        <v>4.6900000000000004</v>
      </c>
      <c r="G121" s="73">
        <v>-3.57</v>
      </c>
    </row>
    <row r="122" spans="1:7" ht="16.2" thickBot="1" x14ac:dyDescent="0.3">
      <c r="A122" s="71" t="s">
        <v>704</v>
      </c>
      <c r="B122" s="71">
        <v>601328</v>
      </c>
      <c r="C122" s="72" t="s">
        <v>668</v>
      </c>
      <c r="D122" s="73" t="s">
        <v>705</v>
      </c>
      <c r="E122" s="73">
        <v>6.44</v>
      </c>
      <c r="F122" s="73">
        <v>4.67</v>
      </c>
      <c r="G122" s="73">
        <v>-7.67</v>
      </c>
    </row>
    <row r="123" spans="1:7" ht="16.2" thickBot="1" x14ac:dyDescent="0.3">
      <c r="A123" s="71" t="s">
        <v>706</v>
      </c>
      <c r="B123" s="71">
        <v>600578</v>
      </c>
      <c r="C123" s="72" t="s">
        <v>668</v>
      </c>
      <c r="D123" s="73" t="s">
        <v>707</v>
      </c>
      <c r="E123" s="73">
        <v>8.0299999999999994</v>
      </c>
      <c r="F123" s="73">
        <v>4.58</v>
      </c>
      <c r="G123" s="73">
        <v>-36.85</v>
      </c>
    </row>
    <row r="124" spans="1:7" ht="16.2" thickBot="1" x14ac:dyDescent="0.3">
      <c r="A124" s="71" t="s">
        <v>708</v>
      </c>
      <c r="B124" s="71">
        <v>600361</v>
      </c>
      <c r="C124" s="72" t="s">
        <v>668</v>
      </c>
      <c r="D124" s="73" t="s">
        <v>709</v>
      </c>
      <c r="E124" s="73" t="s">
        <v>710</v>
      </c>
      <c r="F124" s="73">
        <v>4.57</v>
      </c>
      <c r="G124" s="73">
        <v>-27.27</v>
      </c>
    </row>
    <row r="125" spans="1:7" ht="16.2" thickBot="1" x14ac:dyDescent="0.3">
      <c r="A125" s="71" t="s">
        <v>711</v>
      </c>
      <c r="B125" s="71">
        <v>776</v>
      </c>
      <c r="C125" s="72" t="s">
        <v>668</v>
      </c>
      <c r="D125" s="73" t="s">
        <v>712</v>
      </c>
      <c r="E125" s="73">
        <v>10.53</v>
      </c>
      <c r="F125" s="73">
        <v>4.45</v>
      </c>
      <c r="G125" s="73">
        <v>6.52</v>
      </c>
    </row>
    <row r="126" spans="1:7" ht="16.2" thickBot="1" x14ac:dyDescent="0.3">
      <c r="A126" s="71" t="s">
        <v>713</v>
      </c>
      <c r="B126" s="71">
        <v>601515</v>
      </c>
      <c r="C126" s="72" t="s">
        <v>668</v>
      </c>
      <c r="D126" s="73" t="s">
        <v>714</v>
      </c>
      <c r="E126" s="73">
        <v>18.98</v>
      </c>
      <c r="F126" s="73">
        <v>4.42</v>
      </c>
      <c r="G126" s="73">
        <v>-19.350000000000001</v>
      </c>
    </row>
    <row r="127" spans="1:7" ht="16.2" thickBot="1" x14ac:dyDescent="0.3">
      <c r="A127" s="71" t="s">
        <v>715</v>
      </c>
      <c r="B127" s="71">
        <v>600660</v>
      </c>
      <c r="C127" s="72" t="s">
        <v>668</v>
      </c>
      <c r="D127" s="73" t="s">
        <v>716</v>
      </c>
      <c r="E127" s="73">
        <v>17.21</v>
      </c>
      <c r="F127" s="73">
        <v>4.42</v>
      </c>
      <c r="G127" s="73">
        <v>24.76</v>
      </c>
    </row>
    <row r="128" spans="1:7" ht="16.2" thickBot="1" x14ac:dyDescent="0.3">
      <c r="A128" s="71" t="s">
        <v>717</v>
      </c>
      <c r="B128" s="71">
        <v>600377</v>
      </c>
      <c r="C128" s="72" t="s">
        <v>668</v>
      </c>
      <c r="D128" s="73" t="s">
        <v>718</v>
      </c>
      <c r="E128" s="73">
        <v>18.100000000000001</v>
      </c>
      <c r="F128" s="73">
        <v>4.34</v>
      </c>
      <c r="G128" s="73">
        <v>9.24</v>
      </c>
    </row>
    <row r="129" spans="1:7" ht="16.2" thickBot="1" x14ac:dyDescent="0.3">
      <c r="A129" s="71" t="s">
        <v>719</v>
      </c>
      <c r="B129" s="71">
        <v>899</v>
      </c>
      <c r="C129" s="72" t="s">
        <v>668</v>
      </c>
      <c r="D129" s="73" t="s">
        <v>720</v>
      </c>
      <c r="E129" s="73">
        <v>11.7</v>
      </c>
      <c r="F129" s="73">
        <v>4.29</v>
      </c>
      <c r="G129" s="73">
        <v>-22.98</v>
      </c>
    </row>
    <row r="130" spans="1:7" ht="16.2" thickBot="1" x14ac:dyDescent="0.3">
      <c r="A130" s="71" t="s">
        <v>721</v>
      </c>
      <c r="B130" s="71">
        <v>600999</v>
      </c>
      <c r="C130" s="72" t="s">
        <v>668</v>
      </c>
      <c r="D130" s="73" t="s">
        <v>722</v>
      </c>
      <c r="E130" s="73">
        <v>11.43</v>
      </c>
      <c r="F130" s="73">
        <v>4.12</v>
      </c>
      <c r="G130" s="73">
        <v>-6.42</v>
      </c>
    </row>
    <row r="131" spans="1:7" ht="16.2" thickBot="1" x14ac:dyDescent="0.3">
      <c r="A131" s="71" t="s">
        <v>723</v>
      </c>
      <c r="B131" s="71">
        <v>2419</v>
      </c>
      <c r="C131" s="72" t="s">
        <v>668</v>
      </c>
      <c r="D131" s="73" t="s">
        <v>724</v>
      </c>
      <c r="E131" s="73">
        <v>8.69</v>
      </c>
      <c r="F131" s="73">
        <v>4.1100000000000003</v>
      </c>
      <c r="G131" s="73">
        <v>-4.97</v>
      </c>
    </row>
    <row r="132" spans="1:7" ht="16.2" thickBot="1" x14ac:dyDescent="0.3">
      <c r="A132" s="71" t="s">
        <v>725</v>
      </c>
      <c r="B132" s="71">
        <v>601991</v>
      </c>
      <c r="C132" s="72" t="s">
        <v>668</v>
      </c>
      <c r="D132" s="73" t="s">
        <v>726</v>
      </c>
      <c r="E132" s="73">
        <v>20.48</v>
      </c>
      <c r="F132" s="73">
        <v>4.0599999999999996</v>
      </c>
      <c r="G132" s="73">
        <v>-37.74</v>
      </c>
    </row>
    <row r="133" spans="1:7" ht="16.2" thickBot="1" x14ac:dyDescent="0.3">
      <c r="A133" s="71" t="s">
        <v>727</v>
      </c>
      <c r="B133" s="71">
        <v>600548</v>
      </c>
      <c r="C133" s="72" t="s">
        <v>668</v>
      </c>
      <c r="D133" s="73" t="s">
        <v>728</v>
      </c>
      <c r="E133" s="73">
        <v>12.03</v>
      </c>
      <c r="F133" s="73">
        <v>3.98</v>
      </c>
      <c r="G133" s="73">
        <v>6.48</v>
      </c>
    </row>
    <row r="134" spans="1:7" ht="16.2" thickBot="1" x14ac:dyDescent="0.3">
      <c r="A134" s="71" t="s">
        <v>729</v>
      </c>
      <c r="B134" s="71">
        <v>600236</v>
      </c>
      <c r="C134" s="72" t="s">
        <v>668</v>
      </c>
      <c r="D134" s="73" t="s">
        <v>730</v>
      </c>
      <c r="E134" s="73">
        <v>11.18</v>
      </c>
      <c r="F134" s="73">
        <v>3.93</v>
      </c>
      <c r="G134" s="73">
        <v>-10.64</v>
      </c>
    </row>
    <row r="135" spans="1:7" ht="16.2" thickBot="1" x14ac:dyDescent="0.3">
      <c r="A135" s="71" t="s">
        <v>731</v>
      </c>
      <c r="B135" s="71">
        <v>200022</v>
      </c>
      <c r="C135" s="72" t="s">
        <v>732</v>
      </c>
      <c r="D135" s="73" t="s">
        <v>733</v>
      </c>
      <c r="E135" s="73">
        <v>12.34</v>
      </c>
      <c r="F135" s="73">
        <v>3.9</v>
      </c>
      <c r="G135" s="73" t="s">
        <v>710</v>
      </c>
    </row>
    <row r="136" spans="1:7" ht="16.2" thickBot="1" x14ac:dyDescent="0.3">
      <c r="A136" s="71" t="s">
        <v>734</v>
      </c>
      <c r="B136" s="71">
        <v>600886</v>
      </c>
      <c r="C136" s="72" t="s">
        <v>668</v>
      </c>
      <c r="D136" s="73" t="s">
        <v>735</v>
      </c>
      <c r="E136" s="73">
        <v>9.16</v>
      </c>
      <c r="F136" s="73">
        <v>3.81</v>
      </c>
      <c r="G136" s="73" t="s">
        <v>710</v>
      </c>
    </row>
    <row r="137" spans="1:7" ht="16.2" thickBot="1" x14ac:dyDescent="0.3">
      <c r="A137" s="71" t="s">
        <v>736</v>
      </c>
      <c r="B137" s="71">
        <v>601166</v>
      </c>
      <c r="C137" s="72" t="s">
        <v>668</v>
      </c>
      <c r="D137" s="73" t="s">
        <v>737</v>
      </c>
      <c r="E137" s="73">
        <v>5.99</v>
      </c>
      <c r="F137" s="73">
        <v>3.8</v>
      </c>
      <c r="G137" s="73">
        <v>9.0399999999999991</v>
      </c>
    </row>
    <row r="138" spans="1:7" ht="16.2" thickBot="1" x14ac:dyDescent="0.3">
      <c r="A138" s="71" t="s">
        <v>738</v>
      </c>
      <c r="B138" s="71">
        <v>600859</v>
      </c>
      <c r="C138" s="72" t="s">
        <v>668</v>
      </c>
      <c r="D138" s="73" t="s">
        <v>739</v>
      </c>
      <c r="E138" s="73">
        <v>17.23</v>
      </c>
      <c r="F138" s="73">
        <v>3.8</v>
      </c>
      <c r="G138" s="73">
        <v>-8.61</v>
      </c>
    </row>
    <row r="139" spans="1:7" ht="16.2" thickBot="1" x14ac:dyDescent="0.3">
      <c r="A139" s="71" t="s">
        <v>740</v>
      </c>
      <c r="B139" s="71">
        <v>601601</v>
      </c>
      <c r="C139" s="72" t="s">
        <v>668</v>
      </c>
      <c r="D139" s="73" t="s">
        <v>741</v>
      </c>
      <c r="E139" s="73">
        <v>15.92</v>
      </c>
      <c r="F139" s="73">
        <v>3.79</v>
      </c>
      <c r="G139" s="73">
        <v>13.99</v>
      </c>
    </row>
    <row r="140" spans="1:7" ht="16.2" thickBot="1" x14ac:dyDescent="0.3">
      <c r="A140" s="71" t="s">
        <v>742</v>
      </c>
      <c r="B140" s="71">
        <v>2394</v>
      </c>
      <c r="C140" s="72" t="s">
        <v>668</v>
      </c>
      <c r="D140" s="73" t="s">
        <v>743</v>
      </c>
      <c r="E140" s="73">
        <v>16.82</v>
      </c>
      <c r="F140" s="73">
        <v>3.77</v>
      </c>
      <c r="G140" s="73">
        <v>11.01</v>
      </c>
    </row>
    <row r="141" spans="1:7" ht="16.2" thickBot="1" x14ac:dyDescent="0.3">
      <c r="A141" s="71" t="s">
        <v>744</v>
      </c>
      <c r="B141" s="71">
        <v>600036</v>
      </c>
      <c r="C141" s="72" t="s">
        <v>668</v>
      </c>
      <c r="D141" s="73" t="s">
        <v>745</v>
      </c>
      <c r="E141" s="73">
        <v>7.97</v>
      </c>
      <c r="F141" s="73">
        <v>3.71</v>
      </c>
      <c r="G141" s="73">
        <v>10.77</v>
      </c>
    </row>
    <row r="142" spans="1:7" ht="16.2" thickBot="1" x14ac:dyDescent="0.3">
      <c r="A142" s="71" t="s">
        <v>746</v>
      </c>
      <c r="B142" s="71">
        <v>543</v>
      </c>
      <c r="C142" s="72" t="s">
        <v>668</v>
      </c>
      <c r="D142" s="73" t="s">
        <v>747</v>
      </c>
      <c r="E142" s="73">
        <v>13.09</v>
      </c>
      <c r="F142" s="73">
        <v>3.69</v>
      </c>
      <c r="G142" s="73">
        <v>-6.65</v>
      </c>
    </row>
    <row r="143" spans="1:7" ht="16.2" thickBot="1" x14ac:dyDescent="0.3">
      <c r="A143" s="71" t="s">
        <v>748</v>
      </c>
      <c r="B143" s="71">
        <v>601877</v>
      </c>
      <c r="C143" s="72" t="s">
        <v>668</v>
      </c>
      <c r="D143" s="73" t="s">
        <v>749</v>
      </c>
      <c r="E143" s="73">
        <v>16.27</v>
      </c>
      <c r="F143" s="73">
        <v>3.68</v>
      </c>
      <c r="G143" s="73" t="s">
        <v>710</v>
      </c>
    </row>
    <row r="144" spans="1:7" ht="16.2" thickBot="1" x14ac:dyDescent="0.3">
      <c r="A144" s="71" t="s">
        <v>750</v>
      </c>
      <c r="B144" s="71">
        <v>600795</v>
      </c>
      <c r="C144" s="72" t="s">
        <v>668</v>
      </c>
      <c r="D144" s="73" t="s">
        <v>751</v>
      </c>
      <c r="E144" s="73">
        <v>13.4</v>
      </c>
      <c r="F144" s="73">
        <v>3.58</v>
      </c>
      <c r="G144" s="73">
        <v>-38.72</v>
      </c>
    </row>
    <row r="145" spans="1:7" ht="16.2" thickBot="1" x14ac:dyDescent="0.3">
      <c r="A145" s="71" t="s">
        <v>752</v>
      </c>
      <c r="B145" s="71">
        <v>603001</v>
      </c>
      <c r="C145" s="72" t="s">
        <v>668</v>
      </c>
      <c r="D145" s="73" t="s">
        <v>753</v>
      </c>
      <c r="E145" s="73">
        <v>21.93</v>
      </c>
      <c r="F145" s="73">
        <v>3.57</v>
      </c>
      <c r="G145" s="73">
        <v>-21.04</v>
      </c>
    </row>
    <row r="146" spans="1:7" ht="16.2" thickBot="1" x14ac:dyDescent="0.3">
      <c r="A146" s="71" t="s">
        <v>754</v>
      </c>
      <c r="B146" s="71">
        <v>1696</v>
      </c>
      <c r="C146" s="72" t="s">
        <v>668</v>
      </c>
      <c r="D146" s="73" t="s">
        <v>755</v>
      </c>
      <c r="E146" s="73">
        <v>30.8</v>
      </c>
      <c r="F146" s="73">
        <v>3.53</v>
      </c>
      <c r="G146" s="73">
        <v>-40.869999999999997</v>
      </c>
    </row>
    <row r="147" spans="1:7" ht="16.2" thickBot="1" x14ac:dyDescent="0.3">
      <c r="A147" s="71" t="s">
        <v>756</v>
      </c>
      <c r="B147" s="71">
        <v>600048</v>
      </c>
      <c r="C147" s="72" t="s">
        <v>668</v>
      </c>
      <c r="D147" s="73" t="s">
        <v>757</v>
      </c>
      <c r="E147" s="73">
        <v>8.61</v>
      </c>
      <c r="F147" s="73">
        <v>3.47</v>
      </c>
      <c r="G147" s="73">
        <v>10.68</v>
      </c>
    </row>
    <row r="148" spans="1:7" ht="16.2" thickBot="1" x14ac:dyDescent="0.3">
      <c r="A148" s="71" t="s">
        <v>758</v>
      </c>
      <c r="B148" s="71">
        <v>525</v>
      </c>
      <c r="C148" s="72" t="s">
        <v>668</v>
      </c>
      <c r="D148" s="73" t="s">
        <v>759</v>
      </c>
      <c r="E148" s="73">
        <v>131.03</v>
      </c>
      <c r="F148" s="73">
        <v>3.43</v>
      </c>
      <c r="G148" s="73">
        <v>-12.29</v>
      </c>
    </row>
    <row r="149" spans="1:7" ht="16.2" thickBot="1" x14ac:dyDescent="0.3">
      <c r="A149" s="71" t="s">
        <v>760</v>
      </c>
      <c r="B149" s="71">
        <v>600015</v>
      </c>
      <c r="C149" s="72" t="s">
        <v>668</v>
      </c>
      <c r="D149" s="73" t="s">
        <v>761</v>
      </c>
      <c r="E149" s="73">
        <v>5.81</v>
      </c>
      <c r="F149" s="73">
        <v>3.43</v>
      </c>
      <c r="G149" s="73">
        <v>3.32</v>
      </c>
    </row>
    <row r="150" spans="1:7" ht="16.2" thickBot="1" x14ac:dyDescent="0.3">
      <c r="A150" s="71" t="s">
        <v>762</v>
      </c>
      <c r="B150" s="71">
        <v>600020</v>
      </c>
      <c r="C150" s="72" t="s">
        <v>668</v>
      </c>
      <c r="D150" s="73" t="s">
        <v>763</v>
      </c>
      <c r="E150" s="73">
        <v>9.5399999999999991</v>
      </c>
      <c r="F150" s="73">
        <v>3.43</v>
      </c>
      <c r="G150" s="73">
        <v>-30.3</v>
      </c>
    </row>
    <row r="151" spans="1:7" ht="16.2" thickBot="1" x14ac:dyDescent="0.3">
      <c r="A151" s="71" t="s">
        <v>764</v>
      </c>
      <c r="B151" s="71">
        <v>601158</v>
      </c>
      <c r="C151" s="72" t="s">
        <v>668</v>
      </c>
      <c r="D151" s="73" t="s">
        <v>765</v>
      </c>
      <c r="E151" s="73">
        <v>25.65</v>
      </c>
      <c r="F151" s="73">
        <v>3.4</v>
      </c>
      <c r="G151" s="73">
        <v>-23.04</v>
      </c>
    </row>
    <row r="152" spans="1:7" ht="16.2" thickBot="1" x14ac:dyDescent="0.3">
      <c r="A152" s="71" t="s">
        <v>766</v>
      </c>
      <c r="B152" s="71">
        <v>2242</v>
      </c>
      <c r="C152" s="72" t="s">
        <v>668</v>
      </c>
      <c r="D152" s="73" t="s">
        <v>767</v>
      </c>
      <c r="E152" s="73">
        <v>24.81</v>
      </c>
      <c r="F152" s="73">
        <v>3.39</v>
      </c>
      <c r="G152" s="73">
        <v>-24.66</v>
      </c>
    </row>
    <row r="153" spans="1:7" ht="16.2" thickBot="1" x14ac:dyDescent="0.3">
      <c r="A153" s="71" t="s">
        <v>768</v>
      </c>
      <c r="B153" s="71">
        <v>601788</v>
      </c>
      <c r="C153" s="72" t="s">
        <v>668</v>
      </c>
      <c r="D153" s="73" t="s">
        <v>769</v>
      </c>
      <c r="E153" s="73">
        <v>9.51</v>
      </c>
      <c r="F153" s="73">
        <v>3.37</v>
      </c>
      <c r="G153" s="73">
        <v>-15.68</v>
      </c>
    </row>
    <row r="154" spans="1:7" ht="16.2" thickBot="1" x14ac:dyDescent="0.3">
      <c r="A154" s="71" t="s">
        <v>770</v>
      </c>
      <c r="B154" s="71">
        <v>2736</v>
      </c>
      <c r="C154" s="72" t="s">
        <v>668</v>
      </c>
      <c r="D154" s="73" t="s">
        <v>771</v>
      </c>
      <c r="E154" s="73">
        <v>12.65</v>
      </c>
      <c r="F154" s="73">
        <v>3.37</v>
      </c>
      <c r="G154" s="73">
        <v>-10.1</v>
      </c>
    </row>
    <row r="155" spans="1:7" ht="16.2" thickBot="1" x14ac:dyDescent="0.3">
      <c r="A155" s="71" t="s">
        <v>772</v>
      </c>
      <c r="B155" s="71">
        <v>600315</v>
      </c>
      <c r="C155" s="72" t="s">
        <v>668</v>
      </c>
      <c r="D155" s="73" t="s">
        <v>773</v>
      </c>
      <c r="E155" s="73">
        <v>9.2200000000000006</v>
      </c>
      <c r="F155" s="73">
        <v>3.37</v>
      </c>
      <c r="G155" s="73">
        <v>-24.57</v>
      </c>
    </row>
    <row r="156" spans="1:7" ht="16.2" thickBot="1" x14ac:dyDescent="0.3">
      <c r="A156" s="71" t="s">
        <v>774</v>
      </c>
      <c r="B156" s="71">
        <v>2003</v>
      </c>
      <c r="C156" s="72" t="s">
        <v>668</v>
      </c>
      <c r="D156" s="73" t="s">
        <v>775</v>
      </c>
      <c r="E156" s="73">
        <v>25.01</v>
      </c>
      <c r="F156" s="73">
        <v>3.37</v>
      </c>
      <c r="G156" s="73" t="s">
        <v>710</v>
      </c>
    </row>
    <row r="157" spans="1:7" ht="16.2" thickBot="1" x14ac:dyDescent="0.3">
      <c r="A157" s="71" t="s">
        <v>776</v>
      </c>
      <c r="B157" s="71">
        <v>601000</v>
      </c>
      <c r="C157" s="72" t="s">
        <v>668</v>
      </c>
      <c r="D157" s="73" t="s">
        <v>777</v>
      </c>
      <c r="E157" s="73">
        <v>13.54</v>
      </c>
      <c r="F157" s="73">
        <v>3.34</v>
      </c>
      <c r="G157" s="73">
        <v>-30.47</v>
      </c>
    </row>
    <row r="158" spans="1:7" ht="16.2" thickBot="1" x14ac:dyDescent="0.3">
      <c r="A158" s="71" t="s">
        <v>778</v>
      </c>
      <c r="B158" s="71">
        <v>600383</v>
      </c>
      <c r="C158" s="72" t="s">
        <v>668</v>
      </c>
      <c r="D158" s="73" t="s">
        <v>779</v>
      </c>
      <c r="E158" s="73">
        <v>16.440000000000001</v>
      </c>
      <c r="F158" s="73">
        <v>3.34</v>
      </c>
      <c r="G158" s="73">
        <v>19.79</v>
      </c>
    </row>
    <row r="159" spans="1:7" ht="16.2" thickBot="1" x14ac:dyDescent="0.3">
      <c r="A159" s="71" t="s">
        <v>780</v>
      </c>
      <c r="B159" s="71">
        <v>601009</v>
      </c>
      <c r="C159" s="72" t="s">
        <v>668</v>
      </c>
      <c r="D159" s="73" t="s">
        <v>781</v>
      </c>
      <c r="E159" s="73">
        <v>7.11</v>
      </c>
      <c r="F159" s="73">
        <v>3.33</v>
      </c>
      <c r="G159" s="73">
        <v>24.83</v>
      </c>
    </row>
    <row r="160" spans="1:7" ht="16.2" thickBot="1" x14ac:dyDescent="0.3">
      <c r="A160" s="71" t="s">
        <v>782</v>
      </c>
      <c r="B160" s="71">
        <v>601998</v>
      </c>
      <c r="C160" s="72" t="s">
        <v>668</v>
      </c>
      <c r="D160" s="73" t="s">
        <v>783</v>
      </c>
      <c r="E160" s="73">
        <v>7.41</v>
      </c>
      <c r="F160" s="73">
        <v>3.3</v>
      </c>
      <c r="G160" s="73">
        <v>-9.31</v>
      </c>
    </row>
    <row r="161" spans="1:7" ht="16.2" thickBot="1" x14ac:dyDescent="0.3">
      <c r="A161" s="71" t="s">
        <v>784</v>
      </c>
      <c r="B161" s="71">
        <v>600642</v>
      </c>
      <c r="C161" s="72" t="s">
        <v>668</v>
      </c>
      <c r="D161" s="73" t="s">
        <v>785</v>
      </c>
      <c r="E161" s="73">
        <v>13.72</v>
      </c>
      <c r="F161" s="73">
        <v>3.27</v>
      </c>
      <c r="G161" s="73">
        <v>-37.99</v>
      </c>
    </row>
    <row r="162" spans="1:7" ht="16.2" thickBot="1" x14ac:dyDescent="0.3">
      <c r="A162" s="71" t="s">
        <v>786</v>
      </c>
      <c r="B162" s="71">
        <v>601211</v>
      </c>
      <c r="C162" s="72" t="s">
        <v>668</v>
      </c>
      <c r="D162" s="73" t="s">
        <v>787</v>
      </c>
      <c r="E162" s="73">
        <v>8.57</v>
      </c>
      <c r="F162" s="73">
        <v>3.25</v>
      </c>
      <c r="G162" s="73">
        <v>-20.85</v>
      </c>
    </row>
    <row r="163" spans="1:7" ht="16.2" thickBot="1" x14ac:dyDescent="0.3">
      <c r="A163" s="71" t="s">
        <v>788</v>
      </c>
      <c r="B163" s="71">
        <v>600583</v>
      </c>
      <c r="C163" s="72" t="s">
        <v>668</v>
      </c>
      <c r="D163" s="73" t="s">
        <v>789</v>
      </c>
      <c r="E163" s="73">
        <v>8</v>
      </c>
      <c r="F163" s="73">
        <v>3.25</v>
      </c>
      <c r="G163" s="73">
        <v>-35.29</v>
      </c>
    </row>
    <row r="164" spans="1:7" ht="16.2" thickBot="1" x14ac:dyDescent="0.3">
      <c r="A164" s="71" t="s">
        <v>790</v>
      </c>
      <c r="B164" s="71">
        <v>876</v>
      </c>
      <c r="C164" s="72" t="s">
        <v>668</v>
      </c>
      <c r="D164" s="73" t="s">
        <v>791</v>
      </c>
      <c r="E164" s="73">
        <v>15.13</v>
      </c>
      <c r="F164" s="73">
        <v>3.22</v>
      </c>
      <c r="G164" s="73">
        <v>-9.9499999999999993</v>
      </c>
    </row>
    <row r="165" spans="1:7" ht="16.2" thickBot="1" x14ac:dyDescent="0.3">
      <c r="A165" s="71" t="s">
        <v>792</v>
      </c>
      <c r="B165" s="71">
        <v>300158</v>
      </c>
      <c r="C165" s="72" t="s">
        <v>668</v>
      </c>
      <c r="D165" s="73" t="s">
        <v>793</v>
      </c>
      <c r="E165" s="73">
        <v>78.03</v>
      </c>
      <c r="F165" s="73">
        <v>3.2</v>
      </c>
      <c r="G165" s="73" t="s">
        <v>710</v>
      </c>
    </row>
    <row r="166" spans="1:7" ht="16.2" thickBot="1" x14ac:dyDescent="0.3">
      <c r="A166" s="71" t="s">
        <v>794</v>
      </c>
      <c r="B166" s="71">
        <v>783</v>
      </c>
      <c r="C166" s="72" t="s">
        <v>668</v>
      </c>
      <c r="D166" s="73" t="s">
        <v>795</v>
      </c>
      <c r="E166" s="73">
        <v>24.72</v>
      </c>
      <c r="F166" s="73">
        <v>3.11</v>
      </c>
      <c r="G166" s="73">
        <v>-0.44</v>
      </c>
    </row>
    <row r="167" spans="1:7" ht="16.2" thickBot="1" x14ac:dyDescent="0.3">
      <c r="A167" s="71" t="s">
        <v>796</v>
      </c>
      <c r="B167" s="71">
        <v>601668</v>
      </c>
      <c r="C167" s="72" t="s">
        <v>668</v>
      </c>
      <c r="D167" s="73" t="s">
        <v>797</v>
      </c>
      <c r="E167" s="73">
        <v>7.5</v>
      </c>
      <c r="F167" s="73">
        <v>3.1</v>
      </c>
      <c r="G167" s="73">
        <v>-5.14</v>
      </c>
    </row>
    <row r="168" spans="1:7" ht="16.2" thickBot="1" x14ac:dyDescent="0.3">
      <c r="A168" s="71" t="s">
        <v>798</v>
      </c>
      <c r="B168" s="71">
        <v>600269</v>
      </c>
      <c r="C168" s="72" t="s">
        <v>668</v>
      </c>
      <c r="D168" s="73" t="s">
        <v>799</v>
      </c>
      <c r="E168" s="73">
        <v>11.07</v>
      </c>
      <c r="F168" s="73">
        <v>3.09</v>
      </c>
      <c r="G168" s="73">
        <v>-21.23</v>
      </c>
    </row>
    <row r="169" spans="1:7" ht="16.2" thickBot="1" x14ac:dyDescent="0.3">
      <c r="A169" s="71" t="s">
        <v>800</v>
      </c>
      <c r="B169" s="71">
        <v>2083</v>
      </c>
      <c r="C169" s="72" t="s">
        <v>668</v>
      </c>
      <c r="D169" s="73" t="s">
        <v>801</v>
      </c>
      <c r="E169" s="73">
        <v>17.93</v>
      </c>
      <c r="F169" s="73">
        <v>3.09</v>
      </c>
      <c r="G169" s="73">
        <v>-16.600000000000001</v>
      </c>
    </row>
    <row r="170" spans="1:7" ht="16.2" thickBot="1" x14ac:dyDescent="0.3">
      <c r="A170" s="71" t="s">
        <v>802</v>
      </c>
      <c r="B170" s="71">
        <v>2146</v>
      </c>
      <c r="C170" s="72" t="s">
        <v>668</v>
      </c>
      <c r="D170" s="73" t="s">
        <v>803</v>
      </c>
      <c r="E170" s="73">
        <v>12.26</v>
      </c>
      <c r="F170" s="73">
        <v>3.07</v>
      </c>
      <c r="G170" s="73">
        <v>-17.510000000000002</v>
      </c>
    </row>
    <row r="171" spans="1:7" ht="16.2" thickBot="1" x14ac:dyDescent="0.3">
      <c r="A171" s="71" t="s">
        <v>804</v>
      </c>
      <c r="B171" s="71">
        <v>600023</v>
      </c>
      <c r="C171" s="72" t="s">
        <v>668</v>
      </c>
      <c r="D171" s="73" t="s">
        <v>805</v>
      </c>
      <c r="E171" s="73">
        <v>10.23</v>
      </c>
      <c r="F171" s="73">
        <v>3.03</v>
      </c>
      <c r="G171" s="73">
        <v>72.59</v>
      </c>
    </row>
    <row r="172" spans="1:7" ht="16.2" thickBot="1" x14ac:dyDescent="0.3">
      <c r="A172" s="71" t="s">
        <v>806</v>
      </c>
      <c r="B172" s="71">
        <v>600028</v>
      </c>
      <c r="C172" s="72" t="s">
        <v>668</v>
      </c>
      <c r="D172" s="73" t="s">
        <v>807</v>
      </c>
      <c r="E172" s="73">
        <v>16.43</v>
      </c>
      <c r="F172" s="73">
        <v>3.01</v>
      </c>
      <c r="G172" s="73">
        <v>-11.07</v>
      </c>
    </row>
    <row r="173" spans="1:7" ht="16.2" thickBot="1" x14ac:dyDescent="0.3">
      <c r="A173" s="71" t="s">
        <v>808</v>
      </c>
      <c r="B173" s="71">
        <v>600030</v>
      </c>
      <c r="C173" s="72" t="s">
        <v>668</v>
      </c>
      <c r="D173" s="73" t="s">
        <v>809</v>
      </c>
      <c r="E173" s="73">
        <v>11.29</v>
      </c>
      <c r="F173" s="73">
        <v>2.95</v>
      </c>
      <c r="G173" s="73">
        <v>-14.23</v>
      </c>
    </row>
    <row r="174" spans="1:7" ht="16.2" thickBot="1" x14ac:dyDescent="0.3">
      <c r="A174" s="71" t="s">
        <v>810</v>
      </c>
      <c r="B174" s="71">
        <v>601566</v>
      </c>
      <c r="C174" s="72" t="s">
        <v>668</v>
      </c>
      <c r="D174" s="73" t="s">
        <v>811</v>
      </c>
      <c r="E174" s="73">
        <v>24.11</v>
      </c>
      <c r="F174" s="73">
        <v>2.94</v>
      </c>
      <c r="G174" s="73">
        <v>-9.5299999999999994</v>
      </c>
    </row>
    <row r="175" spans="1:7" ht="16.2" thickBot="1" x14ac:dyDescent="0.3">
      <c r="A175" s="71" t="s">
        <v>812</v>
      </c>
      <c r="B175" s="71">
        <v>600033</v>
      </c>
      <c r="C175" s="72" t="s">
        <v>668</v>
      </c>
      <c r="D175" s="73" t="s">
        <v>813</v>
      </c>
      <c r="E175" s="73">
        <v>16.57</v>
      </c>
      <c r="F175" s="73">
        <v>2.93</v>
      </c>
      <c r="G175" s="73">
        <v>-30.41</v>
      </c>
    </row>
    <row r="176" spans="1:7" ht="16.2" thickBot="1" x14ac:dyDescent="0.3">
      <c r="A176" s="71" t="s">
        <v>814</v>
      </c>
      <c r="B176" s="71">
        <v>2</v>
      </c>
      <c r="C176" s="72" t="s">
        <v>668</v>
      </c>
      <c r="D176" s="73" t="s">
        <v>815</v>
      </c>
      <c r="E176" s="73">
        <v>14.84</v>
      </c>
      <c r="F176" s="73">
        <v>2.93</v>
      </c>
      <c r="G176" s="73">
        <v>72.2</v>
      </c>
    </row>
    <row r="177" spans="1:7" ht="16.2" thickBot="1" x14ac:dyDescent="0.3">
      <c r="A177" s="71" t="s">
        <v>816</v>
      </c>
      <c r="B177" s="71">
        <v>600018</v>
      </c>
      <c r="C177" s="72" t="s">
        <v>668</v>
      </c>
      <c r="D177" s="73" t="s">
        <v>817</v>
      </c>
      <c r="E177" s="73">
        <v>19.399999999999999</v>
      </c>
      <c r="F177" s="73">
        <v>2.92</v>
      </c>
      <c r="G177" s="73">
        <v>-27.41</v>
      </c>
    </row>
    <row r="178" spans="1:7" ht="16.2" thickBot="1" x14ac:dyDescent="0.3">
      <c r="A178" s="71" t="s">
        <v>818</v>
      </c>
      <c r="B178" s="71">
        <v>828</v>
      </c>
      <c r="C178" s="72" t="s">
        <v>668</v>
      </c>
      <c r="D178" s="73" t="s">
        <v>819</v>
      </c>
      <c r="E178" s="73">
        <v>12.87</v>
      </c>
      <c r="F178" s="73">
        <v>2.92</v>
      </c>
      <c r="G178" s="73">
        <v>-28.73</v>
      </c>
    </row>
    <row r="179" spans="1:7" ht="16.2" thickBot="1" x14ac:dyDescent="0.3">
      <c r="A179" s="71" t="s">
        <v>820</v>
      </c>
      <c r="B179" s="71">
        <v>402</v>
      </c>
      <c r="C179" s="72" t="s">
        <v>668</v>
      </c>
      <c r="D179" s="73" t="s">
        <v>821</v>
      </c>
      <c r="E179" s="73">
        <v>18.32</v>
      </c>
      <c r="F179" s="73">
        <v>2.92</v>
      </c>
      <c r="G179" s="73">
        <v>37</v>
      </c>
    </row>
    <row r="180" spans="1:7" ht="16.2" thickBot="1" x14ac:dyDescent="0.3">
      <c r="A180" s="71" t="s">
        <v>822</v>
      </c>
      <c r="B180" s="71">
        <v>600900</v>
      </c>
      <c r="C180" s="72" t="s">
        <v>668</v>
      </c>
      <c r="D180" s="73" t="s">
        <v>823</v>
      </c>
      <c r="E180" s="73">
        <v>19.760000000000002</v>
      </c>
      <c r="F180" s="73">
        <v>2.9</v>
      </c>
      <c r="G180" s="73" t="s">
        <v>710</v>
      </c>
    </row>
    <row r="181" spans="1:7" ht="16.2" thickBot="1" x14ac:dyDescent="0.3">
      <c r="A181" s="71" t="s">
        <v>824</v>
      </c>
      <c r="B181" s="71">
        <v>333</v>
      </c>
      <c r="C181" s="72" t="s">
        <v>668</v>
      </c>
      <c r="D181" s="73" t="s">
        <v>825</v>
      </c>
      <c r="E181" s="73">
        <v>13.38</v>
      </c>
      <c r="F181" s="73">
        <v>2.87</v>
      </c>
      <c r="G181" s="73">
        <v>39.25</v>
      </c>
    </row>
    <row r="182" spans="1:7" ht="16.2" thickBot="1" x14ac:dyDescent="0.3">
      <c r="A182" s="71" t="s">
        <v>826</v>
      </c>
      <c r="B182" s="71">
        <v>600674</v>
      </c>
      <c r="C182" s="72" t="s">
        <v>668</v>
      </c>
      <c r="D182" s="73" t="s">
        <v>827</v>
      </c>
      <c r="E182" s="73">
        <v>10.31</v>
      </c>
      <c r="F182" s="73">
        <v>2.86</v>
      </c>
      <c r="G182" s="73">
        <v>-18.989999999999998</v>
      </c>
    </row>
    <row r="183" spans="1:7" ht="16.2" thickBot="1" x14ac:dyDescent="0.3">
      <c r="A183" s="71" t="s">
        <v>828</v>
      </c>
      <c r="B183" s="71">
        <v>27</v>
      </c>
      <c r="C183" s="72" t="s">
        <v>668</v>
      </c>
      <c r="D183" s="73" t="s">
        <v>829</v>
      </c>
      <c r="E183" s="73">
        <v>17.05</v>
      </c>
      <c r="F183" s="73">
        <v>2.85</v>
      </c>
      <c r="G183" s="73">
        <v>-40.090000000000003</v>
      </c>
    </row>
    <row r="184" spans="1:7" ht="16.2" thickBot="1" x14ac:dyDescent="0.3">
      <c r="A184" s="71" t="s">
        <v>830</v>
      </c>
      <c r="B184" s="71">
        <v>600000</v>
      </c>
      <c r="C184" s="72" t="s">
        <v>668</v>
      </c>
      <c r="D184" s="73" t="s">
        <v>831</v>
      </c>
      <c r="E184" s="73">
        <v>6.58</v>
      </c>
      <c r="F184" s="73">
        <v>2.85</v>
      </c>
      <c r="G184" s="73">
        <v>23.04</v>
      </c>
    </row>
    <row r="185" spans="1:7" ht="16.2" thickBot="1" x14ac:dyDescent="0.3">
      <c r="A185" s="71" t="s">
        <v>832</v>
      </c>
      <c r="B185" s="71">
        <v>600350</v>
      </c>
      <c r="C185" s="72" t="s">
        <v>668</v>
      </c>
      <c r="D185" s="73" t="s">
        <v>833</v>
      </c>
      <c r="E185" s="73">
        <v>9.94</v>
      </c>
      <c r="F185" s="73">
        <v>2.85</v>
      </c>
      <c r="G185" s="73">
        <v>-19.36</v>
      </c>
    </row>
    <row r="186" spans="1:7" ht="16.2" thickBot="1" x14ac:dyDescent="0.3">
      <c r="A186" s="71" t="s">
        <v>834</v>
      </c>
      <c r="B186" s="71">
        <v>600837</v>
      </c>
      <c r="C186" s="72" t="s">
        <v>668</v>
      </c>
      <c r="D186" s="73" t="s">
        <v>835</v>
      </c>
      <c r="E186" s="73">
        <v>13.36</v>
      </c>
      <c r="F186" s="73">
        <v>2.84</v>
      </c>
      <c r="G186" s="73">
        <v>4.01</v>
      </c>
    </row>
    <row r="187" spans="1:7" ht="16.2" thickBot="1" x14ac:dyDescent="0.3">
      <c r="A187" s="71" t="s">
        <v>836</v>
      </c>
      <c r="B187" s="71">
        <v>2498</v>
      </c>
      <c r="C187" s="72" t="s">
        <v>668</v>
      </c>
      <c r="D187" s="73" t="s">
        <v>837</v>
      </c>
      <c r="E187" s="73">
        <v>42.28</v>
      </c>
      <c r="F187" s="73">
        <v>2.83</v>
      </c>
      <c r="G187" s="73">
        <v>-39.76</v>
      </c>
    </row>
    <row r="188" spans="1:7" ht="16.2" thickBot="1" x14ac:dyDescent="0.3">
      <c r="A188" s="71" t="s">
        <v>838</v>
      </c>
      <c r="B188" s="71">
        <v>2202</v>
      </c>
      <c r="C188" s="72" t="s">
        <v>668</v>
      </c>
      <c r="D188" s="73" t="s">
        <v>839</v>
      </c>
      <c r="E188" s="73">
        <v>15.78</v>
      </c>
      <c r="F188" s="73">
        <v>2.8</v>
      </c>
      <c r="G188" s="73">
        <v>-2.78</v>
      </c>
    </row>
    <row r="189" spans="1:7" ht="16.2" thickBot="1" x14ac:dyDescent="0.3">
      <c r="A189" s="71" t="s">
        <v>840</v>
      </c>
      <c r="B189" s="71">
        <v>540</v>
      </c>
      <c r="C189" s="72" t="s">
        <v>668</v>
      </c>
      <c r="D189" s="73" t="s">
        <v>841</v>
      </c>
      <c r="E189" s="73">
        <v>11.02</v>
      </c>
      <c r="F189" s="73">
        <v>2.79</v>
      </c>
      <c r="G189" s="73">
        <v>-31.45</v>
      </c>
    </row>
    <row r="190" spans="1:7" ht="16.2" thickBot="1" x14ac:dyDescent="0.3">
      <c r="A190" s="71" t="s">
        <v>842</v>
      </c>
      <c r="B190" s="71">
        <v>601766</v>
      </c>
      <c r="C190" s="72" t="s">
        <v>668</v>
      </c>
      <c r="D190" s="73" t="s">
        <v>843</v>
      </c>
      <c r="E190" s="73">
        <v>20.97</v>
      </c>
      <c r="F190" s="73">
        <v>2.78</v>
      </c>
      <c r="G190" s="73">
        <v>-27.62</v>
      </c>
    </row>
    <row r="191" spans="1:7" ht="16.2" thickBot="1" x14ac:dyDescent="0.3">
      <c r="A191" s="71" t="s">
        <v>844</v>
      </c>
      <c r="B191" s="71">
        <v>2372</v>
      </c>
      <c r="C191" s="72" t="s">
        <v>668</v>
      </c>
      <c r="D191" s="73" t="s">
        <v>845</v>
      </c>
      <c r="E191" s="73">
        <v>23.92</v>
      </c>
      <c r="F191" s="73">
        <v>2.78</v>
      </c>
      <c r="G191" s="73">
        <v>11.27</v>
      </c>
    </row>
    <row r="192" spans="1:7" ht="16.2" thickBot="1" x14ac:dyDescent="0.3">
      <c r="A192" s="71" t="s">
        <v>846</v>
      </c>
      <c r="B192" s="71">
        <v>2142</v>
      </c>
      <c r="C192" s="72" t="s">
        <v>668</v>
      </c>
      <c r="D192" s="73" t="s">
        <v>847</v>
      </c>
      <c r="E192" s="73">
        <v>9.2899999999999991</v>
      </c>
      <c r="F192" s="73">
        <v>2.77</v>
      </c>
      <c r="G192" s="73">
        <v>34.520000000000003</v>
      </c>
    </row>
    <row r="193" spans="1:7" ht="16.2" thickBot="1" x14ac:dyDescent="0.3">
      <c r="A193" s="71" t="s">
        <v>848</v>
      </c>
      <c r="B193" s="71">
        <v>600312</v>
      </c>
      <c r="C193" s="72" t="s">
        <v>668</v>
      </c>
      <c r="D193" s="73" t="s">
        <v>849</v>
      </c>
      <c r="E193" s="73">
        <v>19.53</v>
      </c>
      <c r="F193" s="73">
        <v>2.75</v>
      </c>
      <c r="G193" s="73" t="s">
        <v>710</v>
      </c>
    </row>
    <row r="194" spans="1:7" ht="16.2" thickBot="1" x14ac:dyDescent="0.3">
      <c r="A194" s="71" t="s">
        <v>850</v>
      </c>
      <c r="B194" s="71">
        <v>600170</v>
      </c>
      <c r="C194" s="72" t="s">
        <v>668</v>
      </c>
      <c r="D194" s="73" t="s">
        <v>851</v>
      </c>
      <c r="E194" s="73">
        <v>16.22</v>
      </c>
      <c r="F194" s="73">
        <v>2.74</v>
      </c>
      <c r="G194" s="73">
        <v>-39.06</v>
      </c>
    </row>
    <row r="195" spans="1:7" ht="16.2" thickBot="1" x14ac:dyDescent="0.3">
      <c r="A195" s="71" t="s">
        <v>852</v>
      </c>
      <c r="B195" s="71">
        <v>600398</v>
      </c>
      <c r="C195" s="72" t="s">
        <v>668</v>
      </c>
      <c r="D195" s="73" t="s">
        <v>853</v>
      </c>
      <c r="E195" s="73">
        <v>17.79</v>
      </c>
      <c r="F195" s="73">
        <v>2.74</v>
      </c>
      <c r="G195" s="73">
        <v>-22.69</v>
      </c>
    </row>
    <row r="196" spans="1:7" ht="16.2" thickBot="1" x14ac:dyDescent="0.3">
      <c r="A196" s="71" t="s">
        <v>854</v>
      </c>
      <c r="B196" s="71">
        <v>601369</v>
      </c>
      <c r="C196" s="72" t="s">
        <v>668</v>
      </c>
      <c r="D196" s="73" t="s">
        <v>855</v>
      </c>
      <c r="E196" s="73">
        <v>33.43</v>
      </c>
      <c r="F196" s="73">
        <v>2.73</v>
      </c>
      <c r="G196" s="73">
        <v>-24.92</v>
      </c>
    </row>
    <row r="197" spans="1:7" ht="16.2" thickBot="1" x14ac:dyDescent="0.3">
      <c r="A197" s="71" t="s">
        <v>856</v>
      </c>
      <c r="B197" s="71">
        <v>685</v>
      </c>
      <c r="C197" s="72" t="s">
        <v>668</v>
      </c>
      <c r="D197" s="73" t="s">
        <v>857</v>
      </c>
      <c r="E197" s="73">
        <v>11.69</v>
      </c>
      <c r="F197" s="73">
        <v>2.71</v>
      </c>
      <c r="G197" s="73">
        <v>-28.14</v>
      </c>
    </row>
    <row r="198" spans="1:7" ht="16.2" thickBot="1" x14ac:dyDescent="0.3">
      <c r="A198" s="71" t="s">
        <v>858</v>
      </c>
      <c r="B198" s="71">
        <v>600183</v>
      </c>
      <c r="C198" s="72" t="s">
        <v>668</v>
      </c>
      <c r="D198" s="73" t="s">
        <v>859</v>
      </c>
      <c r="E198" s="73">
        <v>27.27</v>
      </c>
      <c r="F198" s="73">
        <v>2.69</v>
      </c>
      <c r="G198" s="73">
        <v>8.89</v>
      </c>
    </row>
    <row r="199" spans="1:7" ht="16.2" thickBot="1" x14ac:dyDescent="0.3">
      <c r="A199" s="71" t="s">
        <v>860</v>
      </c>
      <c r="B199" s="71">
        <v>600509</v>
      </c>
      <c r="C199" s="72" t="s">
        <v>668</v>
      </c>
      <c r="D199" s="73" t="s">
        <v>861</v>
      </c>
      <c r="E199" s="73">
        <v>25.86</v>
      </c>
      <c r="F199" s="73">
        <v>2.67</v>
      </c>
      <c r="G199" s="73">
        <v>-40.46</v>
      </c>
    </row>
    <row r="200" spans="1:7" ht="16.2" thickBot="1" x14ac:dyDescent="0.3">
      <c r="A200" s="71" t="s">
        <v>862</v>
      </c>
      <c r="B200" s="71">
        <v>600598</v>
      </c>
      <c r="C200" s="72" t="s">
        <v>668</v>
      </c>
      <c r="D200" s="73" t="s">
        <v>863</v>
      </c>
      <c r="E200" s="73">
        <v>33.380000000000003</v>
      </c>
      <c r="F200" s="73">
        <v>2.67</v>
      </c>
      <c r="G200" s="73">
        <v>-43.66</v>
      </c>
    </row>
    <row r="201" spans="1:7" ht="16.2" thickBot="1" x14ac:dyDescent="0.3">
      <c r="A201" s="71" t="s">
        <v>864</v>
      </c>
      <c r="B201" s="71">
        <v>600270</v>
      </c>
      <c r="C201" s="72" t="s">
        <v>668</v>
      </c>
      <c r="D201" s="73" t="s">
        <v>865</v>
      </c>
      <c r="E201" s="73">
        <v>17.13</v>
      </c>
      <c r="F201" s="73">
        <v>2.66</v>
      </c>
      <c r="G201" s="73">
        <v>-31.02</v>
      </c>
    </row>
    <row r="202" spans="1:7" ht="16.2" thickBot="1" x14ac:dyDescent="0.3">
      <c r="A202" s="71" t="s">
        <v>866</v>
      </c>
      <c r="B202" s="71">
        <v>600958</v>
      </c>
      <c r="C202" s="72" t="s">
        <v>668</v>
      </c>
      <c r="D202" s="73" t="s">
        <v>867</v>
      </c>
      <c r="E202" s="73">
        <v>15.33</v>
      </c>
      <c r="F202" s="73">
        <v>2.66</v>
      </c>
      <c r="G202" s="73">
        <v>-20.52</v>
      </c>
    </row>
    <row r="203" spans="1:7" ht="16.2" thickBot="1" x14ac:dyDescent="0.3">
      <c r="A203" s="71" t="s">
        <v>868</v>
      </c>
      <c r="B203" s="71">
        <v>2557</v>
      </c>
      <c r="C203" s="72" t="s">
        <v>668</v>
      </c>
      <c r="D203" s="73" t="s">
        <v>869</v>
      </c>
      <c r="E203" s="73">
        <v>24.41</v>
      </c>
      <c r="F203" s="73">
        <v>2.64</v>
      </c>
      <c r="G203" s="73" t="s">
        <v>710</v>
      </c>
    </row>
    <row r="204" spans="1:7" ht="16.2" thickBot="1" x14ac:dyDescent="0.3">
      <c r="A204" s="71" t="s">
        <v>870</v>
      </c>
      <c r="B204" s="71">
        <v>601633</v>
      </c>
      <c r="C204" s="72" t="s">
        <v>668</v>
      </c>
      <c r="D204" s="73" t="s">
        <v>871</v>
      </c>
      <c r="E204" s="73">
        <v>12.14</v>
      </c>
      <c r="F204" s="73">
        <v>2.61</v>
      </c>
      <c r="G204" s="73">
        <v>6.11</v>
      </c>
    </row>
    <row r="205" spans="1:7" ht="16.2" thickBot="1" x14ac:dyDescent="0.3">
      <c r="A205" s="71" t="s">
        <v>872</v>
      </c>
      <c r="B205" s="71">
        <v>600585</v>
      </c>
      <c r="C205" s="72" t="s">
        <v>668</v>
      </c>
      <c r="D205" s="73" t="s">
        <v>873</v>
      </c>
      <c r="E205" s="73">
        <v>12.71</v>
      </c>
      <c r="F205" s="73">
        <v>2.58</v>
      </c>
      <c r="G205" s="73">
        <v>-13.39</v>
      </c>
    </row>
    <row r="206" spans="1:7" ht="16.2" thickBot="1" x14ac:dyDescent="0.3">
      <c r="A206" s="71" t="s">
        <v>874</v>
      </c>
      <c r="B206" s="71">
        <v>603188</v>
      </c>
      <c r="C206" s="72" t="s">
        <v>668</v>
      </c>
      <c r="D206" s="73" t="s">
        <v>875</v>
      </c>
      <c r="E206" s="73">
        <v>18.45</v>
      </c>
      <c r="F206" s="73">
        <v>2.57</v>
      </c>
      <c r="G206" s="73">
        <v>-30.55</v>
      </c>
    </row>
    <row r="207" spans="1:7" ht="16.2" thickBot="1" x14ac:dyDescent="0.3">
      <c r="A207" s="71" t="s">
        <v>876</v>
      </c>
      <c r="B207" s="71">
        <v>568</v>
      </c>
      <c r="C207" s="72" t="s">
        <v>668</v>
      </c>
      <c r="D207" s="73" t="s">
        <v>877</v>
      </c>
      <c r="E207" s="73">
        <v>28.73</v>
      </c>
      <c r="F207" s="73">
        <v>2.56</v>
      </c>
      <c r="G207" s="73">
        <v>23.24</v>
      </c>
    </row>
    <row r="208" spans="1:7" ht="16.2" thickBot="1" x14ac:dyDescent="0.3">
      <c r="A208" s="71" t="s">
        <v>878</v>
      </c>
      <c r="B208" s="71">
        <v>600197</v>
      </c>
      <c r="C208" s="72" t="s">
        <v>668</v>
      </c>
      <c r="D208" s="73" t="s">
        <v>879</v>
      </c>
      <c r="E208" s="73">
        <v>23.22</v>
      </c>
      <c r="F208" s="73">
        <v>2.5499999999999998</v>
      </c>
      <c r="G208" s="73">
        <v>23.79</v>
      </c>
    </row>
    <row r="209" spans="1:7" ht="16.2" thickBot="1" x14ac:dyDescent="0.3">
      <c r="A209" s="71" t="s">
        <v>880</v>
      </c>
      <c r="B209" s="71">
        <v>601179</v>
      </c>
      <c r="C209" s="72" t="s">
        <v>668</v>
      </c>
      <c r="D209" s="73" t="s">
        <v>881</v>
      </c>
      <c r="E209" s="73">
        <v>28.89</v>
      </c>
      <c r="F209" s="73">
        <v>2.5499999999999998</v>
      </c>
      <c r="G209" s="73">
        <v>-31.55</v>
      </c>
    </row>
    <row r="210" spans="1:7" ht="16.2" thickBot="1" x14ac:dyDescent="0.3">
      <c r="A210" s="71" t="s">
        <v>882</v>
      </c>
      <c r="B210" s="71">
        <v>2275</v>
      </c>
      <c r="C210" s="72" t="s">
        <v>668</v>
      </c>
      <c r="D210" s="73" t="s">
        <v>883</v>
      </c>
      <c r="E210" s="73">
        <v>29.41</v>
      </c>
      <c r="F210" s="73">
        <v>2.52</v>
      </c>
      <c r="G210" s="73">
        <v>-12.38</v>
      </c>
    </row>
    <row r="211" spans="1:7" ht="16.2" thickBot="1" x14ac:dyDescent="0.3">
      <c r="A211" s="71" t="s">
        <v>884</v>
      </c>
      <c r="B211" s="71">
        <v>2304</v>
      </c>
      <c r="C211" s="72" t="s">
        <v>668</v>
      </c>
      <c r="D211" s="73" t="s">
        <v>885</v>
      </c>
      <c r="E211" s="73">
        <v>19.22</v>
      </c>
      <c r="F211" s="73">
        <v>2.52</v>
      </c>
      <c r="G211" s="73">
        <v>19.13</v>
      </c>
    </row>
    <row r="212" spans="1:7" ht="16.2" thickBot="1" x14ac:dyDescent="0.3">
      <c r="A212" s="71" t="s">
        <v>886</v>
      </c>
      <c r="B212" s="71">
        <v>600016</v>
      </c>
      <c r="C212" s="72" t="s">
        <v>668</v>
      </c>
      <c r="D212" s="73" t="s">
        <v>887</v>
      </c>
      <c r="E212" s="73">
        <v>7.29</v>
      </c>
      <c r="F212" s="73">
        <v>2.52</v>
      </c>
      <c r="G212" s="73">
        <v>6.62</v>
      </c>
    </row>
    <row r="213" spans="1:7" ht="16.2" thickBot="1" x14ac:dyDescent="0.3">
      <c r="A213" s="71" t="s">
        <v>888</v>
      </c>
      <c r="B213" s="71">
        <v>600887</v>
      </c>
      <c r="C213" s="72" t="s">
        <v>668</v>
      </c>
      <c r="D213" s="73" t="s">
        <v>889</v>
      </c>
      <c r="E213" s="73">
        <v>22.08</v>
      </c>
      <c r="F213" s="73">
        <v>2.52</v>
      </c>
      <c r="G213" s="73">
        <v>6.24</v>
      </c>
    </row>
    <row r="214" spans="1:7" ht="16.2" thickBot="1" x14ac:dyDescent="0.3">
      <c r="A214" s="71" t="s">
        <v>890</v>
      </c>
      <c r="B214" s="71">
        <v>2039</v>
      </c>
      <c r="C214" s="72" t="s">
        <v>668</v>
      </c>
      <c r="D214" s="73" t="s">
        <v>891</v>
      </c>
      <c r="E214" s="73">
        <v>15.68</v>
      </c>
      <c r="F214" s="73">
        <v>2.5099999999999998</v>
      </c>
      <c r="G214" s="73">
        <v>15.98</v>
      </c>
    </row>
    <row r="215" spans="1:7" ht="16.2" thickBot="1" x14ac:dyDescent="0.3">
      <c r="A215" s="71" t="s">
        <v>892</v>
      </c>
      <c r="B215" s="71">
        <v>2206</v>
      </c>
      <c r="C215" s="72" t="s">
        <v>668</v>
      </c>
      <c r="D215" s="73" t="s">
        <v>893</v>
      </c>
      <c r="E215" s="73">
        <v>35.869999999999997</v>
      </c>
      <c r="F215" s="73">
        <v>2.5099999999999998</v>
      </c>
      <c r="G215" s="73">
        <v>22.91</v>
      </c>
    </row>
    <row r="216" spans="1:7" ht="16.2" thickBot="1" x14ac:dyDescent="0.3">
      <c r="A216" s="71" t="s">
        <v>894</v>
      </c>
      <c r="B216" s="71">
        <v>2561</v>
      </c>
      <c r="C216" s="72" t="s">
        <v>668</v>
      </c>
      <c r="D216" s="73" t="s">
        <v>895</v>
      </c>
      <c r="E216" s="73">
        <v>24.29</v>
      </c>
      <c r="F216" s="73">
        <v>2.5099999999999998</v>
      </c>
      <c r="G216" s="73">
        <v>-3.04</v>
      </c>
    </row>
    <row r="217" spans="1:7" ht="16.2" thickBot="1" x14ac:dyDescent="0.3">
      <c r="A217" s="71" t="s">
        <v>896</v>
      </c>
      <c r="B217" s="71">
        <v>600369</v>
      </c>
      <c r="C217" s="72" t="s">
        <v>668</v>
      </c>
      <c r="D217" s="73" t="s">
        <v>897</v>
      </c>
      <c r="E217" s="73">
        <v>14.61</v>
      </c>
      <c r="F217" s="73">
        <v>2.5</v>
      </c>
      <c r="G217" s="73">
        <v>-11.02</v>
      </c>
    </row>
    <row r="218" spans="1:7" ht="16.2" thickBot="1" x14ac:dyDescent="0.3">
      <c r="A218" s="71" t="s">
        <v>898</v>
      </c>
      <c r="B218" s="71">
        <v>600563</v>
      </c>
      <c r="C218" s="72" t="s">
        <v>668</v>
      </c>
      <c r="D218" s="73" t="s">
        <v>899</v>
      </c>
      <c r="E218" s="73">
        <v>25.79</v>
      </c>
      <c r="F218" s="73">
        <v>2.4700000000000002</v>
      </c>
      <c r="G218" s="73">
        <v>26.53</v>
      </c>
    </row>
    <row r="219" spans="1:7" ht="16.2" thickBot="1" x14ac:dyDescent="0.3">
      <c r="A219" s="71" t="s">
        <v>900</v>
      </c>
      <c r="B219" s="71">
        <v>2440</v>
      </c>
      <c r="C219" s="72" t="s">
        <v>668</v>
      </c>
      <c r="D219" s="73" t="s">
        <v>901</v>
      </c>
      <c r="E219" s="73">
        <v>27.34</v>
      </c>
      <c r="F219" s="73">
        <v>2.46</v>
      </c>
      <c r="G219" s="73">
        <v>-28.55</v>
      </c>
    </row>
    <row r="220" spans="1:7" ht="16.2" thickBot="1" x14ac:dyDescent="0.3">
      <c r="A220" s="71" t="s">
        <v>902</v>
      </c>
      <c r="B220" s="71">
        <v>690</v>
      </c>
      <c r="C220" s="72" t="s">
        <v>668</v>
      </c>
      <c r="D220" s="73" t="s">
        <v>903</v>
      </c>
      <c r="E220" s="73">
        <v>22.29</v>
      </c>
      <c r="F220" s="73">
        <v>2.4500000000000002</v>
      </c>
      <c r="G220" s="73">
        <v>-24.4</v>
      </c>
    </row>
    <row r="221" spans="1:7" ht="16.2" thickBot="1" x14ac:dyDescent="0.3">
      <c r="A221" s="71" t="s">
        <v>904</v>
      </c>
      <c r="B221" s="71">
        <v>600566</v>
      </c>
      <c r="C221" s="72" t="s">
        <v>668</v>
      </c>
      <c r="D221" s="73" t="s">
        <v>905</v>
      </c>
      <c r="E221" s="73">
        <v>28.29</v>
      </c>
      <c r="F221" s="73">
        <v>2.44</v>
      </c>
      <c r="G221" s="73">
        <v>8.26</v>
      </c>
    </row>
    <row r="222" spans="1:7" ht="16.2" thickBot="1" x14ac:dyDescent="0.3">
      <c r="A222" s="71" t="s">
        <v>906</v>
      </c>
      <c r="B222" s="71">
        <v>601688</v>
      </c>
      <c r="C222" s="72" t="s">
        <v>668</v>
      </c>
      <c r="D222" s="73" t="s">
        <v>907</v>
      </c>
      <c r="E222" s="73">
        <v>14.96</v>
      </c>
      <c r="F222" s="73">
        <v>2.41</v>
      </c>
      <c r="G222" s="73">
        <v>21.81</v>
      </c>
    </row>
    <row r="223" spans="1:7" ht="16.2" thickBot="1" x14ac:dyDescent="0.3">
      <c r="A223" s="71" t="s">
        <v>908</v>
      </c>
      <c r="B223" s="71">
        <v>601678</v>
      </c>
      <c r="C223" s="72" t="s">
        <v>668</v>
      </c>
      <c r="D223" s="73" t="s">
        <v>909</v>
      </c>
      <c r="E223" s="73">
        <v>26.65</v>
      </c>
      <c r="F223" s="73">
        <v>2.4</v>
      </c>
      <c r="G223" s="73">
        <v>-27.1</v>
      </c>
    </row>
    <row r="227" spans="1:14" x14ac:dyDescent="0.25">
      <c r="A227" s="96" t="s">
        <v>930</v>
      </c>
      <c r="B227" s="97" t="s">
        <v>932</v>
      </c>
      <c r="C227" s="97" t="s">
        <v>931</v>
      </c>
      <c r="D227" s="97" t="s">
        <v>933</v>
      </c>
      <c r="E227" s="97" t="s">
        <v>934</v>
      </c>
      <c r="F227" s="97" t="s">
        <v>935</v>
      </c>
      <c r="G227" s="97" t="s">
        <v>936</v>
      </c>
      <c r="H227" s="97" t="s">
        <v>937</v>
      </c>
      <c r="I227" s="97" t="s">
        <v>938</v>
      </c>
      <c r="J227" s="97" t="s">
        <v>939</v>
      </c>
      <c r="K227" s="97" t="s">
        <v>940</v>
      </c>
      <c r="L227" s="97" t="s">
        <v>941</v>
      </c>
      <c r="M227" s="97" t="s">
        <v>942</v>
      </c>
      <c r="N227" s="97" t="s">
        <v>943</v>
      </c>
    </row>
    <row r="228" spans="1:14" x14ac:dyDescent="0.25">
      <c r="A228" s="51" t="s">
        <v>944</v>
      </c>
      <c r="B228" s="98" t="s">
        <v>1008</v>
      </c>
      <c r="C228" s="99" t="s">
        <v>1009</v>
      </c>
      <c r="D228" s="51">
        <v>10.66</v>
      </c>
      <c r="E228" s="51">
        <v>1392.97</v>
      </c>
      <c r="F228" s="51">
        <v>1.23E-2</v>
      </c>
      <c r="G228" s="51">
        <v>1.24</v>
      </c>
      <c r="H228" s="51">
        <v>15.59</v>
      </c>
      <c r="I228" s="51">
        <v>3.7499999999999999E-2</v>
      </c>
      <c r="J228" s="51">
        <v>1.49</v>
      </c>
      <c r="K228" s="51">
        <v>0.12640000000000001</v>
      </c>
      <c r="L228" s="51">
        <v>0</v>
      </c>
      <c r="M228" s="51">
        <v>63.49</v>
      </c>
    </row>
    <row r="229" spans="1:14" x14ac:dyDescent="0.25">
      <c r="A229" s="51" t="s">
        <v>945</v>
      </c>
      <c r="B229" s="51" t="s">
        <v>358</v>
      </c>
      <c r="C229" s="51" t="s">
        <v>359</v>
      </c>
      <c r="D229" s="51">
        <v>5.44</v>
      </c>
      <c r="E229" s="51">
        <v>479.05</v>
      </c>
      <c r="F229" s="51">
        <v>-3.7000000000000002E-3</v>
      </c>
      <c r="G229" s="51">
        <v>1.19</v>
      </c>
      <c r="H229" s="51">
        <v>13.77</v>
      </c>
      <c r="I229" s="51">
        <v>4.2299999999999997E-2</v>
      </c>
      <c r="J229" s="51">
        <v>0.26</v>
      </c>
      <c r="K229" s="51">
        <v>0.16259999999999999</v>
      </c>
      <c r="L229" s="51">
        <v>0</v>
      </c>
      <c r="M229" s="51">
        <v>69.84</v>
      </c>
      <c r="N229" s="51">
        <v>1</v>
      </c>
    </row>
    <row r="230" spans="1:14" x14ac:dyDescent="0.25">
      <c r="A230" s="51" t="s">
        <v>945</v>
      </c>
      <c r="B230" s="51" t="s">
        <v>946</v>
      </c>
      <c r="C230" s="51" t="s">
        <v>492</v>
      </c>
      <c r="D230" s="51">
        <v>7.27</v>
      </c>
      <c r="E230" s="51">
        <v>552.38</v>
      </c>
      <c r="F230" s="51">
        <v>-5.4999999999999997E-3</v>
      </c>
      <c r="G230" s="51">
        <v>1.42</v>
      </c>
      <c r="H230" s="51">
        <v>13.28</v>
      </c>
      <c r="I230" s="51">
        <v>4.3099999999999999E-2</v>
      </c>
      <c r="J230" s="51">
        <v>0.4</v>
      </c>
      <c r="K230" s="51">
        <v>0.1512</v>
      </c>
      <c r="L230" s="51">
        <v>0</v>
      </c>
      <c r="M230" s="51">
        <v>50.79</v>
      </c>
    </row>
    <row r="231" spans="1:14" x14ac:dyDescent="0.25">
      <c r="A231" s="51" t="s">
        <v>945</v>
      </c>
      <c r="B231" s="51" t="s">
        <v>373</v>
      </c>
      <c r="C231" s="51" t="s">
        <v>374</v>
      </c>
      <c r="D231" s="51">
        <v>9.02</v>
      </c>
      <c r="E231" s="51">
        <v>319.73</v>
      </c>
      <c r="F231" s="51">
        <v>-3.3E-3</v>
      </c>
      <c r="G231" s="51">
        <v>1.42</v>
      </c>
      <c r="H231" s="51">
        <v>8.35</v>
      </c>
      <c r="I231" s="51">
        <v>4.99E-2</v>
      </c>
      <c r="J231" s="51">
        <v>0.28999999999999998</v>
      </c>
      <c r="K231" s="51">
        <v>0.2301</v>
      </c>
      <c r="L231" s="51">
        <v>0</v>
      </c>
      <c r="M231" s="51">
        <v>55.56</v>
      </c>
    </row>
    <row r="232" spans="1:14" x14ac:dyDescent="0.25">
      <c r="A232" s="51" t="s">
        <v>947</v>
      </c>
      <c r="B232" s="51" t="s">
        <v>948</v>
      </c>
      <c r="C232" s="51" t="s">
        <v>460</v>
      </c>
      <c r="D232" s="51">
        <v>15.84</v>
      </c>
      <c r="E232" s="51">
        <v>3159.94</v>
      </c>
      <c r="F232" s="51">
        <v>-6.8999999999999999E-3</v>
      </c>
      <c r="G232" s="51">
        <v>1.95</v>
      </c>
      <c r="H232" s="51">
        <v>6.95</v>
      </c>
      <c r="I232" s="51">
        <v>3.9199999999999999E-2</v>
      </c>
      <c r="J232" s="51">
        <v>5.03</v>
      </c>
      <c r="K232" s="51">
        <v>0.27200000000000002</v>
      </c>
      <c r="L232" s="51">
        <v>0</v>
      </c>
      <c r="M232" s="51">
        <v>3.17</v>
      </c>
    </row>
    <row r="233" spans="1:14" x14ac:dyDescent="0.25">
      <c r="A233" s="51" t="s">
        <v>945</v>
      </c>
      <c r="B233" s="51" t="s">
        <v>950</v>
      </c>
      <c r="C233" s="51" t="s">
        <v>949</v>
      </c>
      <c r="D233" s="51">
        <v>10.77</v>
      </c>
      <c r="E233" s="51">
        <v>382.04</v>
      </c>
      <c r="F233" s="51">
        <v>-6.4999999999999997E-3</v>
      </c>
      <c r="G233" s="51">
        <v>1.44</v>
      </c>
      <c r="H233" s="51">
        <v>15.84</v>
      </c>
      <c r="I233" s="51">
        <v>2.7900000000000001E-2</v>
      </c>
      <c r="J233" s="51">
        <v>0.41</v>
      </c>
      <c r="K233" s="51">
        <v>0.14050000000000001</v>
      </c>
      <c r="L233" s="51">
        <v>0</v>
      </c>
      <c r="M233" s="51">
        <v>46.03</v>
      </c>
    </row>
    <row r="234" spans="1:14" x14ac:dyDescent="0.25">
      <c r="A234" s="51" t="s">
        <v>951</v>
      </c>
      <c r="B234" s="51" t="s">
        <v>953</v>
      </c>
      <c r="C234" s="51" t="s">
        <v>952</v>
      </c>
      <c r="D234" s="51">
        <v>11.98</v>
      </c>
      <c r="E234" s="51">
        <v>1504.78</v>
      </c>
      <c r="F234" s="51">
        <v>-9.9000000000000008E-3</v>
      </c>
      <c r="G234" s="51">
        <v>1.81</v>
      </c>
      <c r="H234" s="51">
        <v>18.010000000000002</v>
      </c>
      <c r="I234" s="51">
        <v>1.67E-2</v>
      </c>
      <c r="J234" s="51">
        <v>1.81</v>
      </c>
      <c r="K234" s="51">
        <v>0.14099999999999999</v>
      </c>
      <c r="L234" s="51">
        <v>0</v>
      </c>
      <c r="M234" s="51">
        <v>11.11</v>
      </c>
    </row>
    <row r="235" spans="1:14" x14ac:dyDescent="0.25">
      <c r="A235" s="51" t="s">
        <v>954</v>
      </c>
      <c r="B235" s="51" t="s">
        <v>383</v>
      </c>
      <c r="C235" s="51" t="s">
        <v>955</v>
      </c>
      <c r="D235" s="51">
        <v>12.18</v>
      </c>
      <c r="E235" s="51">
        <v>326.58</v>
      </c>
      <c r="F235" s="51">
        <v>-8.0000000000000004E-4</v>
      </c>
      <c r="G235" s="51">
        <v>1.68</v>
      </c>
      <c r="H235" s="51">
        <v>15.09</v>
      </c>
      <c r="I235" s="51">
        <v>4.1399999999999999E-2</v>
      </c>
      <c r="J235" s="51">
        <v>0.4</v>
      </c>
      <c r="K235" s="51">
        <v>0.1489</v>
      </c>
      <c r="L235" s="51">
        <v>0</v>
      </c>
      <c r="M235" s="51">
        <v>26.98</v>
      </c>
    </row>
    <row r="236" spans="1:14" x14ac:dyDescent="0.25">
      <c r="A236" s="51" t="s">
        <v>951</v>
      </c>
      <c r="B236" s="51" t="s">
        <v>957</v>
      </c>
      <c r="C236" s="51" t="s">
        <v>956</v>
      </c>
      <c r="D236" s="51">
        <v>17.13</v>
      </c>
      <c r="E236" s="51">
        <v>1588.67</v>
      </c>
      <c r="F236" s="51">
        <v>-7.4999999999999997E-3</v>
      </c>
      <c r="G236" s="51">
        <v>1.71</v>
      </c>
      <c r="H236" s="51">
        <v>14.51</v>
      </c>
      <c r="I236" s="51">
        <v>4.6699999999999998E-2</v>
      </c>
      <c r="J236" s="51">
        <v>2.72</v>
      </c>
      <c r="K236" s="51">
        <v>0.161</v>
      </c>
      <c r="L236" s="51">
        <v>0</v>
      </c>
      <c r="M236" s="51">
        <v>20.63</v>
      </c>
    </row>
    <row r="237" spans="1:14" x14ac:dyDescent="0.25">
      <c r="A237" s="51" t="s">
        <v>958</v>
      </c>
      <c r="B237" s="51" t="s">
        <v>959</v>
      </c>
      <c r="C237" s="51" t="s">
        <v>559</v>
      </c>
      <c r="D237" s="51">
        <v>8.11</v>
      </c>
      <c r="E237" s="51">
        <v>1085.21</v>
      </c>
      <c r="F237" s="51">
        <v>2.5000000000000001E-3</v>
      </c>
      <c r="G237" s="51">
        <v>1.69</v>
      </c>
      <c r="H237" s="51">
        <v>13.41</v>
      </c>
      <c r="I237" s="51">
        <v>3.3500000000000002E-2</v>
      </c>
      <c r="J237" s="51">
        <v>0.88</v>
      </c>
      <c r="K237" s="51">
        <v>0.18060000000000001</v>
      </c>
      <c r="L237" s="51">
        <v>0</v>
      </c>
      <c r="M237" s="51">
        <v>25.4</v>
      </c>
    </row>
    <row r="238" spans="1:14" x14ac:dyDescent="0.25">
      <c r="A238" s="51" t="s">
        <v>945</v>
      </c>
      <c r="B238" s="51" t="s">
        <v>960</v>
      </c>
      <c r="C238" s="51" t="s">
        <v>633</v>
      </c>
      <c r="D238" s="51">
        <v>8.91</v>
      </c>
      <c r="E238" s="51">
        <v>460.82</v>
      </c>
      <c r="F238" s="51">
        <v>5.5999999999999999E-3</v>
      </c>
      <c r="G238" s="51">
        <v>1.82</v>
      </c>
      <c r="H238" s="51">
        <v>16.34</v>
      </c>
      <c r="I238" s="51">
        <v>4.4900000000000002E-2</v>
      </c>
      <c r="J238" s="51">
        <v>0.41</v>
      </c>
      <c r="K238" s="51">
        <v>0.1653</v>
      </c>
      <c r="L238" s="51">
        <v>0</v>
      </c>
      <c r="M238" s="51">
        <v>9.52</v>
      </c>
    </row>
    <row r="239" spans="1:14" x14ac:dyDescent="0.25">
      <c r="A239" s="51" t="s">
        <v>945</v>
      </c>
      <c r="B239" s="51" t="s">
        <v>962</v>
      </c>
      <c r="C239" s="51" t="s">
        <v>961</v>
      </c>
      <c r="D239" s="51">
        <v>5.82</v>
      </c>
      <c r="E239" s="51">
        <v>833.75</v>
      </c>
      <c r="F239" s="51">
        <v>0</v>
      </c>
      <c r="G239" s="51">
        <v>1.79</v>
      </c>
      <c r="H239" s="51">
        <v>9.1300000000000008</v>
      </c>
      <c r="I239" s="51">
        <v>2.23E-2</v>
      </c>
      <c r="J239" s="51">
        <v>0.48</v>
      </c>
      <c r="K239" s="51">
        <v>0.22489999999999999</v>
      </c>
      <c r="L239" s="51">
        <v>0</v>
      </c>
      <c r="M239" s="51">
        <v>14.29</v>
      </c>
    </row>
    <row r="240" spans="1:14" x14ac:dyDescent="0.25">
      <c r="A240" s="51" t="s">
        <v>963</v>
      </c>
      <c r="B240" s="51" t="s">
        <v>407</v>
      </c>
      <c r="C240" s="51" t="s">
        <v>408</v>
      </c>
      <c r="D240" s="51">
        <v>17.66</v>
      </c>
      <c r="E240" s="51">
        <v>1331.43</v>
      </c>
      <c r="F240" s="51">
        <v>1.49E-2</v>
      </c>
      <c r="G240" s="51">
        <v>1.37</v>
      </c>
      <c r="H240" s="51">
        <v>9.1</v>
      </c>
      <c r="I240" s="51">
        <v>2.5499999999999998E-2</v>
      </c>
      <c r="J240" s="51">
        <v>2.3199999999999998</v>
      </c>
      <c r="K240" s="51">
        <v>0.2094</v>
      </c>
      <c r="L240" s="51">
        <v>0</v>
      </c>
      <c r="M240" s="51">
        <v>57.14</v>
      </c>
      <c r="N240" s="51">
        <v>1</v>
      </c>
    </row>
    <row r="241" spans="1:14" x14ac:dyDescent="0.25">
      <c r="A241" s="51" t="s">
        <v>944</v>
      </c>
      <c r="B241" s="51" t="s">
        <v>964</v>
      </c>
      <c r="C241" s="51" t="s">
        <v>666</v>
      </c>
      <c r="D241" s="51">
        <v>8.14</v>
      </c>
      <c r="E241" s="51">
        <v>900.62</v>
      </c>
      <c r="F241" s="51">
        <v>-4.8999999999999998E-3</v>
      </c>
      <c r="G241" s="51">
        <v>1.63</v>
      </c>
      <c r="H241" s="51">
        <v>12.08</v>
      </c>
      <c r="I241" s="51">
        <v>3.0700000000000002E-2</v>
      </c>
      <c r="J241" s="51">
        <v>0.73</v>
      </c>
      <c r="K241" s="51">
        <v>0.2576</v>
      </c>
      <c r="L241" s="51">
        <v>0</v>
      </c>
      <c r="M241" s="51">
        <v>30.16</v>
      </c>
    </row>
    <row r="242" spans="1:14" x14ac:dyDescent="0.25">
      <c r="A242" s="51" t="s">
        <v>963</v>
      </c>
      <c r="B242" s="51" t="s">
        <v>441</v>
      </c>
      <c r="C242" s="51" t="s">
        <v>442</v>
      </c>
      <c r="D242" s="51">
        <v>16.670000000000002</v>
      </c>
      <c r="E242" s="51">
        <v>1475.93</v>
      </c>
      <c r="F242" s="51">
        <v>5.9999999999999995E-4</v>
      </c>
      <c r="G242" s="51">
        <v>1</v>
      </c>
      <c r="H242" s="51">
        <v>6.66</v>
      </c>
      <c r="I242" s="51">
        <v>2.81E-2</v>
      </c>
      <c r="J242" s="51">
        <v>2.46</v>
      </c>
      <c r="K242" s="51">
        <v>0.218</v>
      </c>
      <c r="L242" s="51">
        <v>0</v>
      </c>
      <c r="M242" s="51">
        <v>85.71</v>
      </c>
      <c r="N242" s="51">
        <v>1</v>
      </c>
    </row>
    <row r="243" spans="1:14" x14ac:dyDescent="0.25">
      <c r="A243" s="51" t="s">
        <v>965</v>
      </c>
      <c r="B243" s="51" t="s">
        <v>446</v>
      </c>
      <c r="C243" s="51" t="s">
        <v>447</v>
      </c>
      <c r="D243" s="51">
        <v>14.43</v>
      </c>
      <c r="E243" s="51">
        <v>545.16</v>
      </c>
      <c r="F243" s="51">
        <v>7.7000000000000002E-3</v>
      </c>
      <c r="G243" s="51">
        <v>1.56</v>
      </c>
      <c r="H243" s="51">
        <v>11.99</v>
      </c>
      <c r="I243" s="51">
        <v>2.2200000000000001E-2</v>
      </c>
      <c r="J243" s="51">
        <v>0.78</v>
      </c>
      <c r="K243" s="51">
        <v>0.12889999999999999</v>
      </c>
      <c r="L243" s="51">
        <v>0</v>
      </c>
      <c r="M243" s="51">
        <v>36.51</v>
      </c>
    </row>
    <row r="244" spans="1:14" x14ac:dyDescent="0.25">
      <c r="A244" s="51" t="s">
        <v>945</v>
      </c>
      <c r="B244" s="51" t="s">
        <v>458</v>
      </c>
      <c r="C244" s="51" t="s">
        <v>353</v>
      </c>
      <c r="D244" s="51">
        <v>7.28</v>
      </c>
      <c r="E244" s="51">
        <v>722.03</v>
      </c>
      <c r="F244" s="51">
        <v>2.8E-3</v>
      </c>
      <c r="G244" s="51">
        <v>1.34</v>
      </c>
      <c r="H244" s="51">
        <v>11.13</v>
      </c>
      <c r="I244" s="51">
        <v>6.4600000000000005E-2</v>
      </c>
      <c r="J244" s="51">
        <v>0.52</v>
      </c>
      <c r="K244" s="51">
        <v>0.15559999999999999</v>
      </c>
      <c r="L244" s="51">
        <v>0</v>
      </c>
      <c r="M244" s="51">
        <v>58.73</v>
      </c>
      <c r="N244" s="51">
        <v>1</v>
      </c>
    </row>
    <row r="245" spans="1:14" x14ac:dyDescent="0.25">
      <c r="A245" s="51" t="s">
        <v>963</v>
      </c>
      <c r="B245" s="51" t="s">
        <v>465</v>
      </c>
      <c r="C245" s="51" t="s">
        <v>466</v>
      </c>
      <c r="D245" s="51">
        <v>11.37</v>
      </c>
      <c r="E245" s="51">
        <v>1251.8499999999999</v>
      </c>
      <c r="F245" s="51">
        <v>8.9999999999999998E-4</v>
      </c>
      <c r="G245" s="51">
        <v>0.82</v>
      </c>
      <c r="H245" s="51">
        <v>6.2</v>
      </c>
      <c r="I245" s="51">
        <v>3.1899999999999998E-2</v>
      </c>
      <c r="J245" s="51">
        <v>1.42</v>
      </c>
      <c r="K245" s="51">
        <v>0.20569999999999999</v>
      </c>
      <c r="L245" s="51">
        <v>0</v>
      </c>
      <c r="M245" s="51">
        <v>93.65</v>
      </c>
      <c r="N245" s="51">
        <v>1</v>
      </c>
    </row>
    <row r="246" spans="1:14" x14ac:dyDescent="0.25">
      <c r="A246" s="51" t="s">
        <v>963</v>
      </c>
      <c r="B246" s="51" t="s">
        <v>469</v>
      </c>
      <c r="C246" s="51" t="s">
        <v>148</v>
      </c>
      <c r="D246" s="51">
        <v>9.14</v>
      </c>
      <c r="E246" s="51">
        <v>4211.5200000000004</v>
      </c>
      <c r="F246" s="51">
        <v>-2.2000000000000001E-3</v>
      </c>
      <c r="G246" s="51">
        <v>1.02</v>
      </c>
      <c r="H246" s="51">
        <v>7.11</v>
      </c>
      <c r="I246" s="51">
        <v>2.5700000000000001E-2</v>
      </c>
      <c r="J246" s="51">
        <v>3.85</v>
      </c>
      <c r="K246" s="51">
        <v>0.2356</v>
      </c>
      <c r="L246" s="51">
        <v>0</v>
      </c>
      <c r="M246" s="51">
        <v>84.13</v>
      </c>
      <c r="N246" s="51">
        <v>1</v>
      </c>
    </row>
    <row r="247" spans="1:14" x14ac:dyDescent="0.25">
      <c r="A247" s="51" t="s">
        <v>945</v>
      </c>
      <c r="B247" s="51" t="s">
        <v>485</v>
      </c>
      <c r="C247" s="51" t="s">
        <v>365</v>
      </c>
      <c r="D247" s="51">
        <v>5.03</v>
      </c>
      <c r="E247" s="51">
        <v>1015.72</v>
      </c>
      <c r="F247" s="51">
        <v>-2E-3</v>
      </c>
      <c r="G247" s="51">
        <v>1.1499999999999999</v>
      </c>
      <c r="H247" s="51">
        <v>9.2799999999999994</v>
      </c>
      <c r="I247" s="51">
        <v>5.96E-2</v>
      </c>
      <c r="J247" s="51">
        <v>0.51</v>
      </c>
      <c r="K247" s="51">
        <v>0.1726</v>
      </c>
      <c r="L247" s="51">
        <v>0</v>
      </c>
      <c r="M247" s="51">
        <v>76.19</v>
      </c>
      <c r="N247" s="51">
        <v>1</v>
      </c>
    </row>
    <row r="248" spans="1:14" x14ac:dyDescent="0.25">
      <c r="A248" s="51" t="s">
        <v>951</v>
      </c>
      <c r="B248" s="51" t="s">
        <v>966</v>
      </c>
      <c r="C248" s="51" t="s">
        <v>595</v>
      </c>
      <c r="D248" s="51">
        <v>16.3</v>
      </c>
      <c r="E248" s="51">
        <v>3179.09</v>
      </c>
      <c r="F248" s="51">
        <v>-2.3999999999999998E-3</v>
      </c>
      <c r="G248" s="51">
        <v>1.42</v>
      </c>
      <c r="H248" s="51">
        <v>16.8</v>
      </c>
      <c r="I248" s="51">
        <v>3.0700000000000002E-2</v>
      </c>
      <c r="J248" s="51">
        <v>5.18</v>
      </c>
      <c r="K248" s="51">
        <v>0.12509999999999999</v>
      </c>
      <c r="L248" s="51">
        <v>0</v>
      </c>
      <c r="M248" s="51">
        <v>53.97</v>
      </c>
    </row>
    <row r="249" spans="1:14" x14ac:dyDescent="0.25">
      <c r="A249" s="51" t="s">
        <v>963</v>
      </c>
      <c r="B249" s="51" t="s">
        <v>493</v>
      </c>
      <c r="C249" s="51" t="s">
        <v>151</v>
      </c>
      <c r="D249" s="51">
        <v>18.57</v>
      </c>
      <c r="E249" s="51">
        <v>2294.12</v>
      </c>
      <c r="F249" s="51">
        <v>-2.7000000000000001E-3</v>
      </c>
      <c r="G249" s="51">
        <v>1.18</v>
      </c>
      <c r="H249" s="51">
        <v>7.64</v>
      </c>
      <c r="I249" s="51">
        <v>3.7199999999999997E-2</v>
      </c>
      <c r="J249" s="51">
        <v>4.2699999999999996</v>
      </c>
      <c r="K249" s="51">
        <v>0.2288</v>
      </c>
      <c r="L249" s="51">
        <v>0</v>
      </c>
      <c r="M249" s="51">
        <v>73.02</v>
      </c>
      <c r="N249" s="51">
        <v>1</v>
      </c>
    </row>
    <row r="250" spans="1:14" x14ac:dyDescent="0.25">
      <c r="A250" s="51" t="s">
        <v>944</v>
      </c>
      <c r="B250" s="51" t="s">
        <v>496</v>
      </c>
      <c r="C250" s="51" t="s">
        <v>497</v>
      </c>
      <c r="D250" s="51">
        <v>9.16</v>
      </c>
      <c r="E250" s="51">
        <v>2154.1799999999998</v>
      </c>
      <c r="F250" s="51">
        <v>0</v>
      </c>
      <c r="G250" s="51">
        <v>1.29</v>
      </c>
      <c r="H250" s="51">
        <v>8.36</v>
      </c>
      <c r="I250" s="51">
        <v>3.4200000000000001E-2</v>
      </c>
      <c r="J250" s="51">
        <v>1.98</v>
      </c>
      <c r="K250" s="51">
        <v>0.21609999999999999</v>
      </c>
      <c r="L250" s="51">
        <v>0</v>
      </c>
      <c r="M250" s="51">
        <v>61.9</v>
      </c>
      <c r="N250" s="51">
        <v>1</v>
      </c>
    </row>
    <row r="251" spans="1:14" x14ac:dyDescent="0.25">
      <c r="A251" s="51" t="s">
        <v>967</v>
      </c>
      <c r="B251" s="51" t="s">
        <v>969</v>
      </c>
      <c r="C251" s="51" t="s">
        <v>968</v>
      </c>
      <c r="D251" s="51">
        <v>17.28</v>
      </c>
      <c r="E251" s="51">
        <v>536.01</v>
      </c>
      <c r="F251" s="51">
        <v>0</v>
      </c>
      <c r="G251" s="51">
        <v>1.8</v>
      </c>
      <c r="H251" s="51">
        <v>13.3</v>
      </c>
      <c r="I251" s="51">
        <v>1.9699999999999999E-2</v>
      </c>
      <c r="J251" s="51">
        <v>0.93</v>
      </c>
      <c r="K251" s="51">
        <v>0.18310000000000001</v>
      </c>
      <c r="L251" s="51">
        <v>0</v>
      </c>
      <c r="M251" s="51">
        <v>12.7</v>
      </c>
    </row>
    <row r="252" spans="1:14" x14ac:dyDescent="0.25">
      <c r="A252" s="51" t="s">
        <v>970</v>
      </c>
      <c r="B252" s="51" t="s">
        <v>972</v>
      </c>
      <c r="C252" s="51" t="s">
        <v>971</v>
      </c>
      <c r="D252" s="51">
        <v>9.99</v>
      </c>
      <c r="E252" s="51">
        <v>5411.74</v>
      </c>
      <c r="F252" s="51">
        <v>-2.06E-2</v>
      </c>
      <c r="G252" s="51">
        <v>1.23</v>
      </c>
      <c r="H252" s="51">
        <v>14.69</v>
      </c>
      <c r="I252" s="51">
        <v>1.7500000000000002E-2</v>
      </c>
      <c r="J252" s="51">
        <v>5.43</v>
      </c>
      <c r="K252" s="51">
        <v>0.1389</v>
      </c>
      <c r="L252" s="51">
        <v>0</v>
      </c>
      <c r="M252" s="51">
        <v>65.08</v>
      </c>
    </row>
    <row r="253" spans="1:14" x14ac:dyDescent="0.25">
      <c r="A253" s="51" t="s">
        <v>947</v>
      </c>
      <c r="B253" s="51" t="s">
        <v>506</v>
      </c>
      <c r="C253" s="51" t="s">
        <v>361</v>
      </c>
      <c r="D253" s="51">
        <v>25.46</v>
      </c>
      <c r="E253" s="51">
        <v>1402.62</v>
      </c>
      <c r="F253" s="51">
        <v>2.8E-3</v>
      </c>
      <c r="G253" s="51">
        <v>1.62</v>
      </c>
      <c r="H253" s="51">
        <v>9.41</v>
      </c>
      <c r="I253" s="51">
        <v>5.04E-2</v>
      </c>
      <c r="J253" s="51">
        <v>3.58</v>
      </c>
      <c r="K253" s="51">
        <v>0.24709999999999999</v>
      </c>
      <c r="L253" s="51">
        <v>0</v>
      </c>
      <c r="M253" s="51">
        <v>31.75</v>
      </c>
    </row>
    <row r="254" spans="1:14" x14ac:dyDescent="0.25">
      <c r="A254" s="51" t="s">
        <v>970</v>
      </c>
      <c r="B254" s="51" t="s">
        <v>973</v>
      </c>
      <c r="C254" s="51" t="s">
        <v>655</v>
      </c>
      <c r="D254" s="51">
        <v>4.87</v>
      </c>
      <c r="E254" s="51">
        <v>4407.79</v>
      </c>
      <c r="F254" s="51">
        <v>-1.2200000000000001E-2</v>
      </c>
      <c r="G254" s="51">
        <v>1.53</v>
      </c>
      <c r="H254" s="51">
        <v>16.579999999999998</v>
      </c>
      <c r="I254" s="51">
        <v>2.5700000000000001E-2</v>
      </c>
      <c r="J254" s="51">
        <v>2.15</v>
      </c>
      <c r="K254" s="51">
        <v>0.1263</v>
      </c>
      <c r="L254" s="51">
        <v>0</v>
      </c>
      <c r="M254" s="51">
        <v>39.68</v>
      </c>
    </row>
    <row r="255" spans="1:14" x14ac:dyDescent="0.25">
      <c r="A255" s="51" t="s">
        <v>954</v>
      </c>
      <c r="B255" s="51" t="s">
        <v>516</v>
      </c>
      <c r="C255" s="51" t="s">
        <v>974</v>
      </c>
      <c r="D255" s="51">
        <v>14.05</v>
      </c>
      <c r="E255" s="51">
        <v>465.68</v>
      </c>
      <c r="F255" s="51">
        <v>-4.3E-3</v>
      </c>
      <c r="G255" s="51">
        <v>1.59</v>
      </c>
      <c r="H255" s="51">
        <v>8.1199999999999992</v>
      </c>
      <c r="I255" s="51">
        <v>5.6899999999999999E-2</v>
      </c>
      <c r="J255" s="51">
        <v>0.66</v>
      </c>
      <c r="K255" s="51">
        <v>0.17080000000000001</v>
      </c>
      <c r="L255" s="51">
        <v>0</v>
      </c>
      <c r="M255" s="51">
        <v>33.33</v>
      </c>
    </row>
    <row r="256" spans="1:14" x14ac:dyDescent="0.25">
      <c r="A256" s="51" t="s">
        <v>944</v>
      </c>
      <c r="B256" s="51" t="s">
        <v>976</v>
      </c>
      <c r="C256" s="51" t="s">
        <v>975</v>
      </c>
      <c r="D256" s="51">
        <v>13.17</v>
      </c>
      <c r="E256" s="51">
        <v>940.38</v>
      </c>
      <c r="F256" s="51">
        <v>-3.0000000000000001E-3</v>
      </c>
      <c r="G256" s="51">
        <v>1.08</v>
      </c>
      <c r="H256" s="51">
        <v>15.61</v>
      </c>
      <c r="I256" s="51">
        <v>2.1299999999999999E-2</v>
      </c>
      <c r="J256" s="51">
        <v>1.24</v>
      </c>
      <c r="K256" s="51">
        <v>0.14979999999999999</v>
      </c>
      <c r="L256" s="51">
        <v>0</v>
      </c>
      <c r="M256" s="51">
        <v>79.37</v>
      </c>
    </row>
    <row r="257" spans="1:14" x14ac:dyDescent="0.25">
      <c r="A257" s="51" t="s">
        <v>965</v>
      </c>
      <c r="B257" s="51" t="s">
        <v>533</v>
      </c>
      <c r="C257" s="51" t="s">
        <v>534</v>
      </c>
      <c r="D257" s="51">
        <v>6.54</v>
      </c>
      <c r="E257" s="51">
        <v>1383.79</v>
      </c>
      <c r="F257" s="51">
        <v>-1.5100000000000001E-2</v>
      </c>
      <c r="G257" s="51">
        <v>1.3</v>
      </c>
      <c r="H257" s="51">
        <v>8.94</v>
      </c>
      <c r="I257" s="51">
        <v>2.7400000000000001E-2</v>
      </c>
      <c r="J257" s="51">
        <v>0.91</v>
      </c>
      <c r="K257" s="51">
        <v>0.12139999999999999</v>
      </c>
      <c r="L257" s="51">
        <v>0</v>
      </c>
      <c r="M257" s="51">
        <v>60.32</v>
      </c>
      <c r="N257" s="51">
        <v>1</v>
      </c>
    </row>
    <row r="258" spans="1:14" x14ac:dyDescent="0.25">
      <c r="A258" s="51" t="s">
        <v>944</v>
      </c>
      <c r="B258" s="51" t="s">
        <v>977</v>
      </c>
      <c r="C258" s="51" t="s">
        <v>536</v>
      </c>
      <c r="D258" s="51">
        <v>12.58</v>
      </c>
      <c r="E258" s="51">
        <v>538</v>
      </c>
      <c r="F258" s="51">
        <v>-2.3999999999999998E-3</v>
      </c>
      <c r="G258" s="51">
        <v>1.75</v>
      </c>
      <c r="H258" s="51">
        <v>13.91</v>
      </c>
      <c r="I258" s="51">
        <v>3.3300000000000003E-2</v>
      </c>
      <c r="J258" s="51">
        <v>0.68</v>
      </c>
      <c r="K258" s="51">
        <v>0.1424</v>
      </c>
      <c r="L258" s="51">
        <v>0</v>
      </c>
      <c r="M258" s="51">
        <v>19.05</v>
      </c>
    </row>
    <row r="259" spans="1:14" x14ac:dyDescent="0.25">
      <c r="A259" s="51" t="s">
        <v>945</v>
      </c>
      <c r="B259" s="51" t="s">
        <v>979</v>
      </c>
      <c r="C259" s="51" t="s">
        <v>978</v>
      </c>
      <c r="D259" s="51">
        <v>10.92</v>
      </c>
      <c r="E259" s="51">
        <v>209.35</v>
      </c>
      <c r="F259" s="51">
        <v>3.7000000000000002E-3</v>
      </c>
      <c r="G259" s="51">
        <v>1.75</v>
      </c>
      <c r="H259" s="51">
        <v>15.75</v>
      </c>
      <c r="I259" s="51">
        <v>1.83E-2</v>
      </c>
      <c r="J259" s="51">
        <v>0.23</v>
      </c>
      <c r="K259" s="51">
        <v>0.22670000000000001</v>
      </c>
      <c r="L259" s="51">
        <v>0</v>
      </c>
      <c r="M259" s="51">
        <v>17.46</v>
      </c>
    </row>
    <row r="260" spans="1:14" x14ac:dyDescent="0.25">
      <c r="A260" s="51" t="s">
        <v>965</v>
      </c>
      <c r="B260" s="51" t="s">
        <v>981</v>
      </c>
      <c r="C260" s="51" t="s">
        <v>980</v>
      </c>
      <c r="D260" s="51">
        <v>8.76</v>
      </c>
      <c r="E260" s="51">
        <v>159.38999999999999</v>
      </c>
      <c r="F260" s="51">
        <v>2.3E-3</v>
      </c>
      <c r="G260" s="51">
        <v>1.52</v>
      </c>
      <c r="H260" s="51">
        <v>11.6</v>
      </c>
      <c r="I260" s="51">
        <v>3.8800000000000001E-2</v>
      </c>
      <c r="J260" s="51">
        <v>0.14000000000000001</v>
      </c>
      <c r="K260" s="51">
        <v>0.1106</v>
      </c>
      <c r="L260" s="51">
        <v>0</v>
      </c>
      <c r="M260" s="51">
        <v>42.86</v>
      </c>
    </row>
    <row r="261" spans="1:14" x14ac:dyDescent="0.25">
      <c r="A261" s="51" t="s">
        <v>945</v>
      </c>
      <c r="B261" s="51" t="s">
        <v>567</v>
      </c>
      <c r="C261" s="51" t="s">
        <v>414</v>
      </c>
      <c r="D261" s="51">
        <v>4.2699999999999996</v>
      </c>
      <c r="E261" s="51">
        <v>480.28</v>
      </c>
      <c r="F261" s="51">
        <v>-2.3E-3</v>
      </c>
      <c r="G261" s="51">
        <v>1.22</v>
      </c>
      <c r="H261" s="51">
        <v>10.95</v>
      </c>
      <c r="I261" s="51">
        <v>4.6800000000000001E-2</v>
      </c>
      <c r="J261" s="51">
        <v>0.2</v>
      </c>
      <c r="K261" s="51">
        <v>0.218</v>
      </c>
      <c r="L261" s="51">
        <v>0</v>
      </c>
      <c r="M261" s="51">
        <v>66.67</v>
      </c>
      <c r="N261" s="51">
        <v>1</v>
      </c>
    </row>
    <row r="262" spans="1:14" x14ac:dyDescent="0.25">
      <c r="A262" s="51" t="s">
        <v>982</v>
      </c>
      <c r="B262" s="51" t="s">
        <v>983</v>
      </c>
      <c r="C262" s="51" t="s">
        <v>555</v>
      </c>
      <c r="D262" s="51">
        <v>7.91</v>
      </c>
      <c r="E262" s="51">
        <v>1724.29</v>
      </c>
      <c r="F262" s="51">
        <v>-5.0000000000000001E-3</v>
      </c>
      <c r="G262" s="51">
        <v>1.52</v>
      </c>
      <c r="H262" s="51">
        <v>13.76</v>
      </c>
      <c r="I262" s="51">
        <v>3.1600000000000003E-2</v>
      </c>
      <c r="J262" s="51">
        <v>1.36</v>
      </c>
      <c r="K262" s="51">
        <v>0.17369999999999999</v>
      </c>
      <c r="L262" s="51">
        <v>0</v>
      </c>
      <c r="M262" s="51">
        <v>41.27</v>
      </c>
    </row>
    <row r="263" spans="1:14" x14ac:dyDescent="0.25">
      <c r="A263" s="51" t="s">
        <v>984</v>
      </c>
      <c r="B263" s="51" t="s">
        <v>986</v>
      </c>
      <c r="C263" s="51" t="s">
        <v>985</v>
      </c>
      <c r="D263" s="51">
        <v>19.78</v>
      </c>
      <c r="E263" s="51">
        <v>1634.06</v>
      </c>
      <c r="F263" s="51">
        <v>4.5999999999999999E-3</v>
      </c>
      <c r="G263" s="51">
        <v>1.42</v>
      </c>
      <c r="H263" s="51">
        <v>14.2</v>
      </c>
      <c r="I263" s="51">
        <v>2.1700000000000001E-2</v>
      </c>
      <c r="J263" s="51">
        <v>3.24</v>
      </c>
      <c r="K263" s="51">
        <v>0.18060000000000001</v>
      </c>
      <c r="L263" s="51">
        <v>0</v>
      </c>
      <c r="M263" s="51">
        <v>49.21</v>
      </c>
    </row>
    <row r="264" spans="1:14" x14ac:dyDescent="0.25">
      <c r="A264" s="51" t="s">
        <v>944</v>
      </c>
      <c r="B264" s="51" t="s">
        <v>988</v>
      </c>
      <c r="C264" s="51" t="s">
        <v>987</v>
      </c>
      <c r="D264" s="51">
        <v>8.59</v>
      </c>
      <c r="E264" s="51">
        <v>2643.98</v>
      </c>
      <c r="F264" s="51">
        <v>-5.7999999999999996E-3</v>
      </c>
      <c r="G264" s="51">
        <v>1.85</v>
      </c>
      <c r="H264" s="51">
        <v>13.29</v>
      </c>
      <c r="I264" s="51">
        <v>2.3300000000000001E-2</v>
      </c>
      <c r="J264" s="51">
        <v>2.27</v>
      </c>
      <c r="K264" s="51">
        <v>0.1888</v>
      </c>
      <c r="L264" s="51">
        <v>0</v>
      </c>
      <c r="M264" s="51">
        <v>6.35</v>
      </c>
    </row>
    <row r="265" spans="1:14" x14ac:dyDescent="0.25">
      <c r="A265" s="51" t="s">
        <v>944</v>
      </c>
      <c r="B265" s="51" t="s">
        <v>990</v>
      </c>
      <c r="C265" s="51" t="s">
        <v>989</v>
      </c>
      <c r="D265" s="51">
        <v>5.84</v>
      </c>
      <c r="E265" s="51">
        <v>780.65</v>
      </c>
      <c r="F265" s="51">
        <v>0</v>
      </c>
      <c r="G265" s="51">
        <v>1.07</v>
      </c>
      <c r="H265" s="51">
        <v>10.3</v>
      </c>
      <c r="I265" s="51">
        <v>1.7100000000000001E-2</v>
      </c>
      <c r="J265" s="51">
        <v>0.46</v>
      </c>
      <c r="K265" s="51">
        <v>0.1007</v>
      </c>
      <c r="L265" s="51">
        <v>0</v>
      </c>
      <c r="M265" s="51">
        <v>82.54</v>
      </c>
    </row>
    <row r="266" spans="1:14" x14ac:dyDescent="0.25">
      <c r="A266" s="51" t="s">
        <v>945</v>
      </c>
      <c r="B266" s="51" t="s">
        <v>991</v>
      </c>
      <c r="C266" s="51" t="s">
        <v>621</v>
      </c>
      <c r="D266" s="51">
        <v>8.77</v>
      </c>
      <c r="E266" s="51">
        <v>851.83</v>
      </c>
      <c r="F266" s="51">
        <v>-5.7000000000000002E-3</v>
      </c>
      <c r="G266" s="51">
        <v>1.95</v>
      </c>
      <c r="H266" s="51">
        <v>11.13</v>
      </c>
      <c r="I266" s="51">
        <v>3.0800000000000001E-2</v>
      </c>
      <c r="J266" s="51">
        <v>0.75</v>
      </c>
      <c r="K266" s="51">
        <v>0.20419999999999999</v>
      </c>
      <c r="L266" s="51">
        <v>0</v>
      </c>
      <c r="M266" s="51">
        <v>1.59</v>
      </c>
    </row>
    <row r="267" spans="1:14" x14ac:dyDescent="0.25">
      <c r="A267" s="51" t="s">
        <v>947</v>
      </c>
      <c r="B267" s="51" t="s">
        <v>579</v>
      </c>
      <c r="C267" s="51" t="s">
        <v>457</v>
      </c>
      <c r="D267" s="51">
        <v>16.55</v>
      </c>
      <c r="E267" s="51">
        <v>1301.1600000000001</v>
      </c>
      <c r="F267" s="51">
        <v>5.4999999999999997E-3</v>
      </c>
      <c r="G267" s="51">
        <v>1.44</v>
      </c>
      <c r="H267" s="51">
        <v>9.91</v>
      </c>
      <c r="I267" s="51">
        <v>4.8899999999999999E-2</v>
      </c>
      <c r="J267" s="51">
        <v>2.15</v>
      </c>
      <c r="K267" s="51">
        <v>0.25040000000000001</v>
      </c>
      <c r="L267" s="51">
        <v>0</v>
      </c>
      <c r="M267" s="51">
        <v>47.62</v>
      </c>
    </row>
    <row r="268" spans="1:14" x14ac:dyDescent="0.25">
      <c r="A268" s="51" t="s">
        <v>945</v>
      </c>
      <c r="B268" s="51" t="s">
        <v>589</v>
      </c>
      <c r="C268" s="51" t="s">
        <v>220</v>
      </c>
      <c r="D268" s="51">
        <v>3.23</v>
      </c>
      <c r="E268" s="51">
        <v>8135.45</v>
      </c>
      <c r="F268" s="51">
        <v>-6.1999999999999998E-3</v>
      </c>
      <c r="G268" s="51">
        <v>1.2</v>
      </c>
      <c r="H268" s="51">
        <v>15.24</v>
      </c>
      <c r="I268" s="51">
        <v>3.4099999999999998E-2</v>
      </c>
      <c r="J268" s="51">
        <v>2.63</v>
      </c>
      <c r="K268" s="51">
        <v>0.14399999999999999</v>
      </c>
      <c r="L268" s="51">
        <v>0</v>
      </c>
      <c r="M268" s="51">
        <v>68.25</v>
      </c>
    </row>
    <row r="269" spans="1:14" x14ac:dyDescent="0.25">
      <c r="A269" s="51" t="s">
        <v>951</v>
      </c>
      <c r="B269" s="51" t="s">
        <v>992</v>
      </c>
      <c r="C269" s="51" t="s">
        <v>629</v>
      </c>
      <c r="D269" s="51">
        <v>15.97</v>
      </c>
      <c r="E269" s="51">
        <v>1091.69</v>
      </c>
      <c r="F269" s="51">
        <v>-8.0999999999999996E-3</v>
      </c>
      <c r="G269" s="51">
        <v>1.7</v>
      </c>
      <c r="H269" s="51">
        <v>16.489999999999998</v>
      </c>
      <c r="I269" s="51">
        <v>2.8199999999999999E-2</v>
      </c>
      <c r="J269" s="51">
        <v>1.75</v>
      </c>
      <c r="K269" s="51">
        <v>0.12379999999999999</v>
      </c>
      <c r="L269" s="51">
        <v>0</v>
      </c>
      <c r="M269" s="51">
        <v>22.22</v>
      </c>
    </row>
    <row r="270" spans="1:14" x14ac:dyDescent="0.25">
      <c r="A270" s="51" t="s">
        <v>945</v>
      </c>
      <c r="B270" s="51" t="s">
        <v>600</v>
      </c>
      <c r="C270" s="51" t="s">
        <v>474</v>
      </c>
      <c r="D270" s="51">
        <v>6.89</v>
      </c>
      <c r="E270" s="51">
        <v>3379.52</v>
      </c>
      <c r="F270" s="51">
        <v>4.4000000000000003E-3</v>
      </c>
      <c r="G270" s="51">
        <v>1.66</v>
      </c>
      <c r="H270" s="51">
        <v>10.87</v>
      </c>
      <c r="I270" s="51">
        <v>4.0599999999999997E-2</v>
      </c>
      <c r="J270" s="51">
        <v>2.3199999999999998</v>
      </c>
      <c r="K270" s="51">
        <v>0.2059</v>
      </c>
      <c r="L270" s="51">
        <v>0</v>
      </c>
      <c r="M270" s="51">
        <v>28.57</v>
      </c>
    </row>
    <row r="271" spans="1:14" x14ac:dyDescent="0.25">
      <c r="A271" s="51" t="s">
        <v>993</v>
      </c>
      <c r="B271" s="51" t="s">
        <v>994</v>
      </c>
      <c r="C271" s="51" t="s">
        <v>395</v>
      </c>
      <c r="D271" s="51">
        <v>13.72</v>
      </c>
      <c r="E271" s="51">
        <v>428.3</v>
      </c>
      <c r="F271" s="51">
        <v>2.8999999999999998E-3</v>
      </c>
      <c r="G271" s="51">
        <v>1.76</v>
      </c>
      <c r="H271" s="51">
        <v>11.98</v>
      </c>
      <c r="I271" s="51">
        <v>5.4699999999999999E-2</v>
      </c>
      <c r="J271" s="51">
        <v>0.59</v>
      </c>
      <c r="K271" s="51">
        <v>0.32140000000000002</v>
      </c>
      <c r="L271" s="51">
        <v>0</v>
      </c>
      <c r="M271" s="51">
        <v>15.87</v>
      </c>
    </row>
    <row r="272" spans="1:14" x14ac:dyDescent="0.25">
      <c r="A272" s="51" t="s">
        <v>970</v>
      </c>
      <c r="B272" s="51" t="s">
        <v>996</v>
      </c>
      <c r="C272" s="51" t="s">
        <v>995</v>
      </c>
      <c r="D272" s="51">
        <v>7.15</v>
      </c>
      <c r="E272" s="51">
        <v>2054.13</v>
      </c>
      <c r="F272" s="51">
        <v>9.9000000000000008E-3</v>
      </c>
      <c r="G272" s="51">
        <v>1.85</v>
      </c>
      <c r="H272" s="51">
        <v>16.649999999999999</v>
      </c>
      <c r="I272" s="51">
        <v>1.5900000000000001E-2</v>
      </c>
      <c r="J272" s="51">
        <v>1.47</v>
      </c>
      <c r="K272" s="51">
        <v>0.14219999999999999</v>
      </c>
      <c r="L272" s="51">
        <v>0</v>
      </c>
      <c r="M272" s="51">
        <v>4.76</v>
      </c>
    </row>
    <row r="273" spans="1:14" x14ac:dyDescent="0.25">
      <c r="A273" s="51" t="s">
        <v>965</v>
      </c>
      <c r="B273" s="51" t="s">
        <v>998</v>
      </c>
      <c r="C273" s="51" t="s">
        <v>997</v>
      </c>
      <c r="D273" s="51">
        <v>4.0999999999999996</v>
      </c>
      <c r="E273" s="51">
        <v>1952.34</v>
      </c>
      <c r="F273" s="51">
        <v>4.8999999999999998E-3</v>
      </c>
      <c r="G273" s="51">
        <v>1.69</v>
      </c>
      <c r="H273" s="51">
        <v>14.07</v>
      </c>
      <c r="I273" s="51">
        <v>3.0099999999999998E-2</v>
      </c>
      <c r="J273" s="51">
        <v>0.8</v>
      </c>
      <c r="K273" s="51">
        <v>0.153</v>
      </c>
      <c r="L273" s="51">
        <v>0</v>
      </c>
      <c r="M273" s="51">
        <v>23.81</v>
      </c>
    </row>
    <row r="274" spans="1:14" x14ac:dyDescent="0.25">
      <c r="A274" s="51" t="s">
        <v>965</v>
      </c>
      <c r="B274" s="51" t="s">
        <v>606</v>
      </c>
      <c r="C274" s="51" t="s">
        <v>341</v>
      </c>
      <c r="D274" s="51">
        <v>6.98</v>
      </c>
      <c r="E274" s="51">
        <v>2276.8000000000002</v>
      </c>
      <c r="F274" s="51">
        <v>-1.4E-3</v>
      </c>
      <c r="G274" s="51">
        <v>1.19</v>
      </c>
      <c r="H274" s="51">
        <v>15.71</v>
      </c>
      <c r="I274" s="51">
        <v>6.4500000000000002E-2</v>
      </c>
      <c r="J274" s="51">
        <v>1.59</v>
      </c>
      <c r="K274" s="51">
        <v>0.1767</v>
      </c>
      <c r="L274" s="51">
        <v>0</v>
      </c>
      <c r="M274" s="51">
        <v>71.430000000000007</v>
      </c>
    </row>
    <row r="275" spans="1:14" x14ac:dyDescent="0.25">
      <c r="A275" s="51" t="s">
        <v>963</v>
      </c>
      <c r="B275" s="51" t="s">
        <v>608</v>
      </c>
      <c r="C275" s="51" t="s">
        <v>609</v>
      </c>
      <c r="D275" s="51">
        <v>11.4</v>
      </c>
      <c r="E275" s="51">
        <v>3609.8</v>
      </c>
      <c r="F275" s="51">
        <v>1.3299999999999999E-2</v>
      </c>
      <c r="G275" s="51">
        <v>1.1200000000000001</v>
      </c>
      <c r="H275" s="51">
        <v>8.4499999999999993</v>
      </c>
      <c r="I275" s="51">
        <v>1.95E-2</v>
      </c>
      <c r="J275" s="51">
        <v>4.07</v>
      </c>
      <c r="K275" s="51">
        <v>0.19589999999999999</v>
      </c>
      <c r="L275" s="51">
        <v>0</v>
      </c>
      <c r="M275" s="51">
        <v>77.78</v>
      </c>
    </row>
    <row r="276" spans="1:14" x14ac:dyDescent="0.25">
      <c r="A276" s="51" t="s">
        <v>965</v>
      </c>
      <c r="B276" s="51" t="s">
        <v>1000</v>
      </c>
      <c r="C276" s="51" t="s">
        <v>999</v>
      </c>
      <c r="D276" s="51">
        <v>5.03</v>
      </c>
      <c r="E276" s="51">
        <v>621.33000000000004</v>
      </c>
      <c r="F276" s="51">
        <v>0</v>
      </c>
      <c r="G276" s="51">
        <v>1.1599999999999999</v>
      </c>
      <c r="H276" s="51">
        <v>12.81</v>
      </c>
      <c r="I276" s="51">
        <v>1.5900000000000001E-2</v>
      </c>
      <c r="J276" s="51">
        <v>0.31</v>
      </c>
      <c r="K276" s="51">
        <v>0.1099</v>
      </c>
      <c r="L276" s="51">
        <v>0</v>
      </c>
      <c r="M276" s="51">
        <v>74.599999999999994</v>
      </c>
    </row>
    <row r="277" spans="1:14" x14ac:dyDescent="0.25">
      <c r="A277" s="51" t="s">
        <v>963</v>
      </c>
      <c r="B277" s="51" t="s">
        <v>619</v>
      </c>
      <c r="C277" s="51" t="s">
        <v>481</v>
      </c>
      <c r="D277" s="51">
        <v>16.66</v>
      </c>
      <c r="E277" s="51">
        <v>4046.47</v>
      </c>
      <c r="F277" s="51">
        <v>-3.5999999999999999E-3</v>
      </c>
      <c r="G277" s="51">
        <v>0.92</v>
      </c>
      <c r="H277" s="51">
        <v>5.99</v>
      </c>
      <c r="I277" s="51">
        <v>3.6600000000000001E-2</v>
      </c>
      <c r="J277" s="51">
        <v>6.75</v>
      </c>
      <c r="K277" s="51">
        <v>0.23810000000000001</v>
      </c>
      <c r="L277" s="51">
        <v>0</v>
      </c>
      <c r="M277" s="51">
        <v>88.89</v>
      </c>
      <c r="N277" s="51">
        <v>1</v>
      </c>
    </row>
    <row r="278" spans="1:14" x14ac:dyDescent="0.25">
      <c r="A278" s="51" t="s">
        <v>963</v>
      </c>
      <c r="B278" s="51" t="s">
        <v>920</v>
      </c>
      <c r="C278" s="51" t="s">
        <v>919</v>
      </c>
      <c r="D278" s="51">
        <v>10.029999999999999</v>
      </c>
      <c r="E278" s="51">
        <v>1196.94</v>
      </c>
      <c r="F278" s="51">
        <v>0</v>
      </c>
      <c r="G278" s="51">
        <v>1.08</v>
      </c>
      <c r="H278" s="51">
        <v>8.64</v>
      </c>
      <c r="I278" s="51">
        <v>2.0799999999999999E-2</v>
      </c>
      <c r="J278" s="51">
        <v>1.2</v>
      </c>
      <c r="K278" s="51">
        <v>0.19639999999999999</v>
      </c>
      <c r="L278" s="51">
        <v>0</v>
      </c>
      <c r="M278" s="51">
        <v>80.95</v>
      </c>
      <c r="N278" s="51">
        <v>1</v>
      </c>
    </row>
    <row r="279" spans="1:14" x14ac:dyDescent="0.25">
      <c r="A279" s="51" t="s">
        <v>951</v>
      </c>
      <c r="B279" s="51" t="s">
        <v>1001</v>
      </c>
      <c r="C279" s="51" t="s">
        <v>551</v>
      </c>
      <c r="D279" s="51">
        <v>18.77</v>
      </c>
      <c r="E279" s="51">
        <v>2163.0100000000002</v>
      </c>
      <c r="F279" s="51">
        <v>-7.9000000000000008E-3</v>
      </c>
      <c r="G279" s="51">
        <v>1.47</v>
      </c>
      <c r="H279" s="51">
        <v>12.57</v>
      </c>
      <c r="I279" s="51">
        <v>3.3000000000000002E-2</v>
      </c>
      <c r="J279" s="51">
        <v>4.07</v>
      </c>
      <c r="K279" s="51">
        <v>0.20499999999999999</v>
      </c>
      <c r="L279" s="51">
        <v>0</v>
      </c>
      <c r="M279" s="51">
        <v>44.44</v>
      </c>
    </row>
    <row r="280" spans="1:14" x14ac:dyDescent="0.25">
      <c r="A280" s="51" t="s">
        <v>963</v>
      </c>
      <c r="B280" s="51" t="s">
        <v>625</v>
      </c>
      <c r="C280" s="51" t="s">
        <v>369</v>
      </c>
      <c r="D280" s="51">
        <v>3.17</v>
      </c>
      <c r="E280" s="51">
        <v>9198.09</v>
      </c>
      <c r="F280" s="51">
        <v>-3.0999999999999999E-3</v>
      </c>
      <c r="G280" s="51">
        <v>0.79</v>
      </c>
      <c r="H280" s="51">
        <v>5.67</v>
      </c>
      <c r="I280" s="51">
        <v>5.2600000000000001E-2</v>
      </c>
      <c r="J280" s="51">
        <v>2.92</v>
      </c>
      <c r="K280" s="51">
        <v>0.2077</v>
      </c>
      <c r="L280" s="51">
        <v>0</v>
      </c>
      <c r="M280" s="51">
        <v>95.24</v>
      </c>
      <c r="N280" s="51">
        <v>1</v>
      </c>
    </row>
    <row r="281" spans="1:14" x14ac:dyDescent="0.25">
      <c r="A281" s="51" t="s">
        <v>963</v>
      </c>
      <c r="B281" s="51" t="s">
        <v>627</v>
      </c>
      <c r="C281" s="51" t="s">
        <v>410</v>
      </c>
      <c r="D281" s="51">
        <v>5.95</v>
      </c>
      <c r="E281" s="51">
        <v>4951.63</v>
      </c>
      <c r="F281" s="51">
        <v>-5.0000000000000001E-3</v>
      </c>
      <c r="G281" s="51">
        <v>0.72</v>
      </c>
      <c r="H281" s="51">
        <v>6.59</v>
      </c>
      <c r="I281" s="51">
        <v>4.5400000000000003E-2</v>
      </c>
      <c r="J281" s="51">
        <v>2.95</v>
      </c>
      <c r="K281" s="51">
        <v>0.17180000000000001</v>
      </c>
      <c r="L281" s="51">
        <v>0</v>
      </c>
      <c r="M281" s="51">
        <v>100</v>
      </c>
      <c r="N281" s="51">
        <v>1</v>
      </c>
    </row>
    <row r="282" spans="1:14" x14ac:dyDescent="0.25">
      <c r="A282" s="51" t="s">
        <v>963</v>
      </c>
      <c r="B282" s="51" t="s">
        <v>638</v>
      </c>
      <c r="C282" s="51" t="s">
        <v>372</v>
      </c>
      <c r="D282" s="51">
        <v>4.55</v>
      </c>
      <c r="E282" s="51">
        <v>6841.44</v>
      </c>
      <c r="F282" s="51">
        <v>-2.2000000000000001E-3</v>
      </c>
      <c r="G282" s="51">
        <v>0.83</v>
      </c>
      <c r="H282" s="51">
        <v>5.83</v>
      </c>
      <c r="I282" s="51">
        <v>5.1299999999999998E-2</v>
      </c>
      <c r="J282" s="51">
        <v>3.11</v>
      </c>
      <c r="K282" s="51">
        <v>0.22090000000000001</v>
      </c>
      <c r="L282" s="51">
        <v>0</v>
      </c>
      <c r="M282" s="51">
        <v>92.06</v>
      </c>
      <c r="N282" s="51">
        <v>1</v>
      </c>
    </row>
    <row r="283" spans="1:14" x14ac:dyDescent="0.25">
      <c r="A283" s="51" t="s">
        <v>1002</v>
      </c>
      <c r="B283" s="51" t="s">
        <v>1004</v>
      </c>
      <c r="C283" s="51" t="s">
        <v>1003</v>
      </c>
      <c r="D283" s="51">
        <v>21.7</v>
      </c>
      <c r="E283" s="51">
        <v>1050.92</v>
      </c>
      <c r="F283" s="51">
        <v>1.4E-3</v>
      </c>
      <c r="G283" s="51">
        <v>1.85</v>
      </c>
      <c r="H283" s="51">
        <v>18.489999999999998</v>
      </c>
      <c r="I283" s="51">
        <v>1.52E-2</v>
      </c>
      <c r="J283" s="51">
        <v>2.2799999999999998</v>
      </c>
      <c r="K283" s="51">
        <v>0.1095</v>
      </c>
      <c r="L283" s="51">
        <v>0</v>
      </c>
      <c r="M283" s="51">
        <v>7.94</v>
      </c>
    </row>
    <row r="284" spans="1:14" x14ac:dyDescent="0.25">
      <c r="A284" s="51" t="s">
        <v>970</v>
      </c>
      <c r="B284" s="51" t="s">
        <v>644</v>
      </c>
      <c r="C284" s="51" t="s">
        <v>574</v>
      </c>
      <c r="D284" s="51">
        <v>8.8000000000000007</v>
      </c>
      <c r="E284" s="51">
        <v>15963.8</v>
      </c>
      <c r="F284" s="51">
        <v>-7.9000000000000008E-3</v>
      </c>
      <c r="G284" s="51">
        <v>1.42</v>
      </c>
      <c r="H284" s="51">
        <v>8.31</v>
      </c>
      <c r="I284" s="51">
        <v>2.2700000000000001E-2</v>
      </c>
      <c r="J284" s="51">
        <v>14.04</v>
      </c>
      <c r="K284" s="51">
        <v>0.19439999999999999</v>
      </c>
      <c r="L284" s="51">
        <v>0</v>
      </c>
      <c r="M284" s="51">
        <v>52.38</v>
      </c>
    </row>
    <row r="285" spans="1:14" x14ac:dyDescent="0.25">
      <c r="A285" s="51" t="s">
        <v>951</v>
      </c>
      <c r="B285" s="51" t="s">
        <v>1006</v>
      </c>
      <c r="C285" s="51" t="s">
        <v>1005</v>
      </c>
      <c r="D285" s="51">
        <v>17.97</v>
      </c>
      <c r="E285" s="51">
        <v>1886.43</v>
      </c>
      <c r="F285" s="51">
        <v>-7.1999999999999998E-3</v>
      </c>
      <c r="G285" s="51">
        <v>1.57</v>
      </c>
      <c r="H285" s="51">
        <v>18.739999999999998</v>
      </c>
      <c r="I285" s="51">
        <v>2.7799999999999998E-2</v>
      </c>
      <c r="J285" s="51">
        <v>3.39</v>
      </c>
      <c r="K285" s="51">
        <v>0.11700000000000001</v>
      </c>
      <c r="L285" s="51">
        <v>0</v>
      </c>
      <c r="M285" s="51">
        <v>34.92</v>
      </c>
    </row>
    <row r="286" spans="1:14" x14ac:dyDescent="0.25">
      <c r="A286" s="51" t="s">
        <v>951</v>
      </c>
      <c r="B286" s="51" t="s">
        <v>1007</v>
      </c>
      <c r="C286" s="51" t="s">
        <v>618</v>
      </c>
      <c r="D286" s="51">
        <v>15.72</v>
      </c>
      <c r="E286" s="51">
        <v>946.96</v>
      </c>
      <c r="F286" s="51">
        <v>-5.7000000000000002E-3</v>
      </c>
      <c r="G286" s="51">
        <v>1.55</v>
      </c>
      <c r="H286" s="51">
        <v>17.97</v>
      </c>
      <c r="I286" s="51">
        <v>3.2300000000000002E-2</v>
      </c>
      <c r="J286" s="51">
        <v>1.49</v>
      </c>
      <c r="K286" s="51">
        <v>0.1082</v>
      </c>
      <c r="L286" s="51">
        <v>0</v>
      </c>
      <c r="M286" s="51">
        <v>38.1</v>
      </c>
    </row>
    <row r="287" spans="1:14" x14ac:dyDescent="0.25">
      <c r="A287" s="51" t="s">
        <v>963</v>
      </c>
      <c r="B287" s="51" t="s">
        <v>650</v>
      </c>
      <c r="C287" s="51" t="s">
        <v>406</v>
      </c>
      <c r="D287" s="51">
        <v>4.03</v>
      </c>
      <c r="E287" s="51">
        <v>3095.21</v>
      </c>
      <c r="F287" s="51">
        <v>-2.5000000000000001E-3</v>
      </c>
      <c r="G287" s="51">
        <v>0.76</v>
      </c>
      <c r="H287" s="51">
        <v>6.25</v>
      </c>
      <c r="I287" s="51">
        <v>4.7100000000000003E-2</v>
      </c>
      <c r="J287" s="51">
        <v>1.25</v>
      </c>
      <c r="K287" s="51">
        <v>0.20330000000000001</v>
      </c>
      <c r="L287" s="51">
        <v>0</v>
      </c>
      <c r="M287" s="51">
        <v>96.83</v>
      </c>
      <c r="N287" s="51">
        <v>1</v>
      </c>
    </row>
    <row r="288" spans="1:14" x14ac:dyDescent="0.25">
      <c r="A288" s="51" t="s">
        <v>963</v>
      </c>
      <c r="B288" s="51" t="s">
        <v>659</v>
      </c>
      <c r="C288" s="51" t="s">
        <v>376</v>
      </c>
      <c r="D288" s="51">
        <v>5.65</v>
      </c>
      <c r="E288" s="51">
        <v>4872.01</v>
      </c>
      <c r="F288" s="51">
        <v>-1.8E-3</v>
      </c>
      <c r="G288" s="51">
        <v>0.91</v>
      </c>
      <c r="H288" s="51">
        <v>6.13</v>
      </c>
      <c r="I288" s="51">
        <v>4.8500000000000001E-2</v>
      </c>
      <c r="J288" s="51">
        <v>2.74</v>
      </c>
      <c r="K288" s="51">
        <v>0.216</v>
      </c>
      <c r="L288" s="51">
        <v>0</v>
      </c>
      <c r="M288" s="51">
        <v>90.48</v>
      </c>
      <c r="N288" s="51">
        <v>1</v>
      </c>
    </row>
    <row r="289" spans="1:14" x14ac:dyDescent="0.25">
      <c r="A289" s="51" t="s">
        <v>963</v>
      </c>
      <c r="B289" s="51" t="s">
        <v>661</v>
      </c>
      <c r="C289" s="51" t="s">
        <v>262</v>
      </c>
      <c r="D289" s="51">
        <v>3.54</v>
      </c>
      <c r="E289" s="51">
        <v>10994.2</v>
      </c>
      <c r="F289" s="51">
        <v>-2.8E-3</v>
      </c>
      <c r="G289" s="51">
        <v>0.75</v>
      </c>
      <c r="H289" s="51">
        <v>5.99</v>
      </c>
      <c r="I289" s="51">
        <v>4.9399999999999999E-2</v>
      </c>
      <c r="J289" s="51">
        <v>3.89</v>
      </c>
      <c r="K289" s="51">
        <v>0.1794</v>
      </c>
      <c r="L289" s="51">
        <v>0</v>
      </c>
      <c r="M289" s="51">
        <v>98.41</v>
      </c>
      <c r="N289" s="51">
        <v>1</v>
      </c>
    </row>
    <row r="290" spans="1:14" x14ac:dyDescent="0.25">
      <c r="A290" s="51" t="s">
        <v>963</v>
      </c>
      <c r="B290" s="51" t="s">
        <v>918</v>
      </c>
      <c r="C290" s="51" t="s">
        <v>566</v>
      </c>
      <c r="D290" s="51">
        <v>6.8</v>
      </c>
      <c r="E290" s="51">
        <v>2516.15</v>
      </c>
      <c r="F290" s="51">
        <v>-2.8999999999999998E-3</v>
      </c>
      <c r="G290" s="51">
        <v>0.97</v>
      </c>
      <c r="H290" s="51">
        <v>7.78</v>
      </c>
      <c r="I290" s="51">
        <v>3.1199999999999999E-2</v>
      </c>
      <c r="J290" s="51">
        <v>1.71</v>
      </c>
      <c r="K290" s="51">
        <v>0.18429999999999999</v>
      </c>
      <c r="L290" s="51">
        <v>0</v>
      </c>
      <c r="M290" s="51">
        <v>87.3</v>
      </c>
      <c r="N290" s="51">
        <v>1</v>
      </c>
    </row>
  </sheetData>
  <customSheetViews>
    <customSheetView guid="{1E41C6D1-1FF2-4EDC-93A7-39FD0856DDAE}" state="hidden" topLeftCell="A82">
      <selection activeCell="R239" sqref="R239"/>
      <pageMargins left="0.7" right="0.7" top="0.75" bottom="0.75" header="0.3" footer="0.3"/>
    </customSheetView>
    <customSheetView guid="{2C754312-9D31-43A1-8D1D-F4080D321E7F}" state="hidden" topLeftCell="A82">
      <selection activeCell="R239" sqref="R239"/>
      <pageMargins left="0.7" right="0.7" top="0.75" bottom="0.75" header="0.3" footer="0.3"/>
    </customSheetView>
  </customSheetViews>
  <phoneticPr fontId="3" type="noConversion"/>
  <hyperlinks>
    <hyperlink ref="J2" r:id="rId1" display="http://www.cninfo.com.cn/information/dividend/shmb600664.html" xr:uid="{00000000-0004-0000-0C00-000000000000}"/>
    <hyperlink ref="J3" r:id="rId2" display="http://www.cninfo.com.cn/information/dividend/szmb000651.html" xr:uid="{00000000-0004-0000-0C00-000001000000}"/>
    <hyperlink ref="J4" r:id="rId3" display="http://www.cninfo.com.cn/information/dividend/shmb600252.html" xr:uid="{00000000-0004-0000-0C00-000002000000}"/>
    <hyperlink ref="J5" r:id="rId4" display="http://www.cninfo.com.cn/information/dividend/shmb601006.html" xr:uid="{00000000-0004-0000-0C00-000003000000}"/>
    <hyperlink ref="J6" r:id="rId5" display="http://www.cninfo.com.cn/information/dividend/shmb600066.html" xr:uid="{00000000-0004-0000-0C00-000004000000}"/>
    <hyperlink ref="J7" r:id="rId6" display="http://www.cninfo.com.cn/information/dividend/shmb600469.html" xr:uid="{00000000-0004-0000-0C00-000005000000}"/>
    <hyperlink ref="J8" r:id="rId7" display="http://www.cninfo.com.cn/information/dividend/shmb600011.html" xr:uid="{00000000-0004-0000-0C00-000006000000}"/>
    <hyperlink ref="J9" r:id="rId8" display="http://www.cninfo.com.cn/information/dividend/szmb002545.html" xr:uid="{00000000-0004-0000-0C00-000007000000}"/>
    <hyperlink ref="J10" r:id="rId9" display="http://www.cninfo.com.cn/information/dividend/shmb600104.html" xr:uid="{00000000-0004-0000-0C00-000008000000}"/>
    <hyperlink ref="J11" r:id="rId10" display="http://www.cninfo.com.cn/information/dividend/shmb600027.html" xr:uid="{00000000-0004-0000-0C00-000009000000}"/>
    <hyperlink ref="J12" r:id="rId11" display="http://www.cninfo.com.cn/information/dividend/shmb601288.html" xr:uid="{00000000-0004-0000-0C00-00000A000000}"/>
    <hyperlink ref="J13" r:id="rId12" display="http://www.cninfo.com.cn/information/dividend/shmb601398.html" xr:uid="{00000000-0004-0000-0C00-00000B000000}"/>
    <hyperlink ref="J14" r:id="rId13" display="http://www.cninfo.com.cn/information/dividend/shmb601939.html" xr:uid="{00000000-0004-0000-0C00-00000C000000}"/>
    <hyperlink ref="J15" r:id="rId14" display="http://www.cninfo.com.cn/information/dividend/shmb600182.html" xr:uid="{00000000-0004-0000-0C00-00000D000000}"/>
    <hyperlink ref="J16" r:id="rId15" display="http://www.cninfo.com.cn/information/dividend/szmb000568.html" xr:uid="{00000000-0004-0000-0C00-00000E000000}"/>
    <hyperlink ref="J17" r:id="rId16" display="http://www.cninfo.com.cn/information/dividend/shmb601988.html" xr:uid="{00000000-0004-0000-0C00-00000F000000}"/>
    <hyperlink ref="J18" r:id="rId17" display="http://www.cninfo.com.cn/information/dividend/szmb000895.html" xr:uid="{00000000-0004-0000-0C00-000010000000}"/>
    <hyperlink ref="J19" r:id="rId18" display="http://www.cninfo.com.cn/information/dividend/szmb002489.html" xr:uid="{00000000-0004-0000-0C00-000011000000}"/>
    <hyperlink ref="J20" r:id="rId19" display="http://www.cninfo.com.cn/information/dividend/shmb600894.html" xr:uid="{00000000-0004-0000-0C00-000012000000}"/>
    <hyperlink ref="J21" r:id="rId20" display="http://www.cninfo.com.cn/information/dividend/shmb600023.html" xr:uid="{00000000-0004-0000-0C00-000013000000}"/>
    <hyperlink ref="J22" r:id="rId21" display="http://www.cninfo.com.cn/information/dividend/szmb000600.html" xr:uid="{00000000-0004-0000-0C00-000014000000}"/>
    <hyperlink ref="J23" r:id="rId22" display="http://www.cninfo.com.cn/information/dividend/shmb601818.html" xr:uid="{00000000-0004-0000-0C00-000015000000}"/>
    <hyperlink ref="J24" r:id="rId23" display="http://www.cninfo.com.cn/information/dividend/shmb601328.html" xr:uid="{00000000-0004-0000-0C00-000016000000}"/>
    <hyperlink ref="J25" r:id="rId24" display="http://www.cninfo.com.cn/information/dividend/shmb600578.html" xr:uid="{00000000-0004-0000-0C00-000017000000}"/>
    <hyperlink ref="J26" r:id="rId25" display="http://www.cninfo.com.cn/information/dividend/shmb600361.html" xr:uid="{00000000-0004-0000-0C00-000018000000}"/>
    <hyperlink ref="J27" r:id="rId26" display="http://www.cninfo.com.cn/information/dividend/shmb600177.html" xr:uid="{00000000-0004-0000-0C00-000019000000}"/>
    <hyperlink ref="J28" r:id="rId27" display="http://www.cninfo.com.cn/information/dividend/shmb601515.html" xr:uid="{00000000-0004-0000-0C00-00001A000000}"/>
    <hyperlink ref="J29" r:id="rId28" display="http://www.cninfo.com.cn/information/dividend/shmb600660.html" xr:uid="{00000000-0004-0000-0C00-00001B000000}"/>
    <hyperlink ref="J30" r:id="rId29" display="http://www.cninfo.com.cn/information/dividend/shmb600377.html" xr:uid="{00000000-0004-0000-0C00-00001C000000}"/>
    <hyperlink ref="J31" r:id="rId30" display="http://www.cninfo.com.cn/information/dividend/szmb000539.html" xr:uid="{00000000-0004-0000-0C00-00001D000000}"/>
    <hyperlink ref="J32" r:id="rId31" display="http://www.cninfo.com.cn/information/dividend/szmb000726.html" xr:uid="{00000000-0004-0000-0C00-00001E000000}"/>
    <hyperlink ref="J33" r:id="rId32" display="http://www.cninfo.com.cn/information/dividend/szmb002568.html" xr:uid="{00000000-0004-0000-0C00-00001F000000}"/>
    <hyperlink ref="J34" r:id="rId33" display="http://www.cninfo.com.cn/information/dividend/shmb600999.html" xr:uid="{00000000-0004-0000-0C00-000020000000}"/>
    <hyperlink ref="J35" r:id="rId34" display="http://www.cninfo.com.cn/information/dividend/szmb002419.html" xr:uid="{00000000-0004-0000-0C00-000021000000}"/>
    <hyperlink ref="J36" r:id="rId35" display="http://www.cninfo.com.cn/information/dividend/shmb600741.html" xr:uid="{00000000-0004-0000-0C00-000022000000}"/>
    <hyperlink ref="J37" r:id="rId36" display="http://www.cninfo.com.cn/information/dividend/szmb000625.html" xr:uid="{00000000-0004-0000-0C00-000023000000}"/>
    <hyperlink ref="J38" r:id="rId37" display="http://www.cninfo.com.cn/information/dividend/shmb600548.html" xr:uid="{00000000-0004-0000-0C00-000024000000}"/>
    <hyperlink ref="J39" r:id="rId38" display="http://www.cninfo.com.cn/information/dividend/shmb603989.html" xr:uid="{00000000-0004-0000-0C00-000025000000}"/>
    <hyperlink ref="J40" r:id="rId39" display="http://www.cninfo.com.cn/information/dividend/szmb000550.html" xr:uid="{00000000-0004-0000-0C00-000026000000}"/>
    <hyperlink ref="J41" r:id="rId40" display="http://www.cninfo.com.cn/information/dividend/shmb600886.html" xr:uid="{00000000-0004-0000-0C00-000027000000}"/>
    <hyperlink ref="J42" r:id="rId41" display="http://www.cninfo.com.cn/information/dividend/shmb600859.html" xr:uid="{00000000-0004-0000-0C00-000028000000}"/>
    <hyperlink ref="J43" r:id="rId42" display="http://www.cninfo.com.cn/information/dividend/shmb601166.html" xr:uid="{00000000-0004-0000-0C00-000029000000}"/>
    <hyperlink ref="J44" r:id="rId43" display="http://www.cninfo.com.cn/information/dividend/shmb601601.html" xr:uid="{00000000-0004-0000-0C00-00002A000000}"/>
    <hyperlink ref="J45" r:id="rId44" display="http://www.cninfo.com.cn/information/dividend/szmb002394.html" xr:uid="{00000000-0004-0000-0C00-00002B000000}"/>
    <hyperlink ref="J46" r:id="rId45" display="http://www.cninfo.com.cn/information/dividend/shmb600036.html" xr:uid="{00000000-0004-0000-0C00-00002C000000}"/>
    <hyperlink ref="J47" r:id="rId46" display="http://www.cninfo.com.cn/information/dividend/szmb000543.html" xr:uid="{00000000-0004-0000-0C00-00002D000000}"/>
    <hyperlink ref="J48" r:id="rId47" display="http://www.cninfo.com.cn/information/dividend/shmb601877.html" xr:uid="{00000000-0004-0000-0C00-00002E000000}"/>
    <hyperlink ref="J49" r:id="rId48" display="http://www.cninfo.com.cn/information/dividend/shmb600795.html" xr:uid="{00000000-0004-0000-0C00-00002F000000}"/>
    <hyperlink ref="J50" r:id="rId49" display="http://www.cninfo.com.cn/information/dividend/shmb603001.html" xr:uid="{00000000-0004-0000-0C00-000030000000}"/>
    <hyperlink ref="J51" r:id="rId50" display="http://www.cninfo.com.cn/information/dividend/szmb000861.html" xr:uid="{00000000-0004-0000-0C00-000031000000}"/>
    <hyperlink ref="J52" r:id="rId51" display="http://www.cninfo.com.cn/information/dividend/szmb001696.html" xr:uid="{00000000-0004-0000-0C00-000032000000}"/>
    <hyperlink ref="J53" r:id="rId52" display="http://www.cninfo.com.cn/information/dividend/shmb600015.html" xr:uid="{00000000-0004-0000-0C00-000033000000}"/>
    <hyperlink ref="J54" r:id="rId53" display="http://www.cninfo.com.cn/information/dividend/shmb600020.html" xr:uid="{00000000-0004-0000-0C00-000034000000}"/>
    <hyperlink ref="J55" r:id="rId54" display="http://www.cninfo.com.cn/information/dividend/shmb601158.html" xr:uid="{00000000-0004-0000-0C00-000035000000}"/>
    <hyperlink ref="J56" r:id="rId55" display="http://www.cninfo.com.cn/information/dividend/szmb002242.html" xr:uid="{00000000-0004-0000-0C00-000036000000}"/>
    <hyperlink ref="J57" r:id="rId56" display="http://www.cninfo.com.cn/information/dividend/szmb002736.html" xr:uid="{00000000-0004-0000-0C00-000037000000}"/>
    <hyperlink ref="J58" r:id="rId57" display="http://www.cninfo.com.cn/information/dividend/shmb600315.html" xr:uid="{00000000-0004-0000-0C00-000038000000}"/>
    <hyperlink ref="J59" r:id="rId58" display="http://www.cninfo.com.cn/information/dividend/shmb601000.html" xr:uid="{00000000-0004-0000-0C00-000039000000}"/>
    <hyperlink ref="J60" r:id="rId59" display="http://www.cninfo.com.cn/information/dividend/shmb600383.html" xr:uid="{00000000-0004-0000-0C00-00003A000000}"/>
    <hyperlink ref="J61" r:id="rId60" display="http://www.cninfo.com.cn/information/dividend/shmb600369.html" xr:uid="{00000000-0004-0000-0C00-00003B000000}"/>
    <hyperlink ref="J62" r:id="rId61" display="http://www.cninfo.com.cn/information/dividend/szmb000488.html" xr:uid="{00000000-0004-0000-0C00-00003C000000}"/>
    <hyperlink ref="J63" r:id="rId62" display="http://www.cninfo.com.cn/information/dividend/shmb600642.html" xr:uid="{00000000-0004-0000-0C00-00003D000000}"/>
    <hyperlink ref="J64" r:id="rId63" display="http://www.cninfo.com.cn/information/dividend/shmb601211.html" xr:uid="{00000000-0004-0000-0C00-00003E000000}"/>
    <hyperlink ref="J65" r:id="rId64" display="http://www.cninfo.com.cn/information/dividend/shmb600583.html" xr:uid="{00000000-0004-0000-0C00-00003F000000}"/>
    <hyperlink ref="J66" r:id="rId65" display="http://www.cninfo.com.cn/information/dividend/szmb000876.html" xr:uid="{00000000-0004-0000-0C00-000040000000}"/>
    <hyperlink ref="J67" r:id="rId66" display="http://www.cninfo.com.cn/information/dividend/szmb002003.html" xr:uid="{00000000-0004-0000-0C00-000041000000}"/>
    <hyperlink ref="J68" r:id="rId67" display="http://www.cninfo.com.cn/information/dividend/shmb601998.html" xr:uid="{00000000-0004-0000-0C00-000042000000}"/>
    <hyperlink ref="J69" r:id="rId68" display="http://www.cninfo.com.cn/information/dividend/shmb600048.html" xr:uid="{00000000-0004-0000-0C00-000043000000}"/>
    <hyperlink ref="J70" r:id="rId69" display="http://www.cninfo.com.cn/information/dividend/shmb601991.html" xr:uid="{00000000-0004-0000-0C00-000044000000}"/>
    <hyperlink ref="J71" r:id="rId70" display="http://www.cninfo.com.cn/information/dividend/shmb601668.html" xr:uid="{00000000-0004-0000-0C00-000045000000}"/>
    <hyperlink ref="J72" r:id="rId71" display="http://www.cninfo.com.cn/information/dividend/szmb002083.html" xr:uid="{00000000-0004-0000-0C00-000046000000}"/>
    <hyperlink ref="J73" r:id="rId72" display="http://www.cninfo.com.cn/information/dividend/shmb600269.html" xr:uid="{00000000-0004-0000-0C00-000047000000}"/>
    <hyperlink ref="J74" r:id="rId73" display="http://www.cninfo.com.cn/information/dividend/shmb600310.html" xr:uid="{00000000-0004-0000-0C00-000048000000}"/>
    <hyperlink ref="J75" r:id="rId74" display="http://www.cninfo.com.cn/information/dividend/shmb600028.html" xr:uid="{00000000-0004-0000-0C00-000049000000}"/>
    <hyperlink ref="J76" r:id="rId75" display="http://www.cninfo.com.cn/information/dividend/szmb000525.html" xr:uid="{00000000-0004-0000-0C00-00004A000000}"/>
    <hyperlink ref="J77" r:id="rId76" display="http://www.cninfo.com.cn/information/dividend/shmb600030.html" xr:uid="{00000000-0004-0000-0C00-00004B000000}"/>
    <hyperlink ref="J78" r:id="rId77" display="http://www.cninfo.com.cn/information/dividend/shmb601566.html" xr:uid="{00000000-0004-0000-0C00-00004C000000}"/>
    <hyperlink ref="J79" r:id="rId78" display="http://www.cninfo.com.cn/information/dividend/shmb600033.html" xr:uid="{00000000-0004-0000-0C00-00004D000000}"/>
    <hyperlink ref="J80" r:id="rId79" display="http://www.cninfo.com.cn/information/dividend/szmb000002.html" xr:uid="{00000000-0004-0000-0C00-00004E000000}"/>
    <hyperlink ref="J81" r:id="rId80" display="http://www.cninfo.com.cn/information/dividend/shmb600018.html" xr:uid="{00000000-0004-0000-0C00-00004F000000}"/>
    <hyperlink ref="J82" r:id="rId81" display="http://www.cninfo.com.cn/information/dividend/szmb000828.html" xr:uid="{00000000-0004-0000-0C00-000050000000}"/>
    <hyperlink ref="J83" r:id="rId82" display="http://www.cninfo.com.cn/information/dividend/szmb000402.html" xr:uid="{00000000-0004-0000-0C00-000051000000}"/>
    <hyperlink ref="J84" r:id="rId83" display="http://www.cninfo.com.cn/information/dividend/szmb000333.html" xr:uid="{00000000-0004-0000-0C00-000052000000}"/>
    <hyperlink ref="J85" r:id="rId84" display="http://www.cninfo.com.cn/information/dividend/shmb601788.html" xr:uid="{00000000-0004-0000-0C00-000053000000}"/>
    <hyperlink ref="J86" r:id="rId85" display="http://www.cninfo.com.cn/information/dividend/shmb600674.html" xr:uid="{00000000-0004-0000-0C00-000054000000}"/>
    <hyperlink ref="J87" r:id="rId86" display="http://www.cninfo.com.cn/information/dividend/szmb000027.html" xr:uid="{00000000-0004-0000-0C00-000055000000}"/>
    <hyperlink ref="J88" r:id="rId87" display="http://www.cninfo.com.cn/information/dividend/shmb600350.html" xr:uid="{00000000-0004-0000-0C00-000056000000}"/>
    <hyperlink ref="J89" r:id="rId88" display="http://www.cninfo.com.cn/information/dividend/shmb600837.html" xr:uid="{00000000-0004-0000-0C00-000057000000}"/>
    <hyperlink ref="J90" r:id="rId89" display="http://www.cninfo.com.cn/information/dividend/szmb000899.html" xr:uid="{00000000-0004-0000-0C00-000058000000}"/>
    <hyperlink ref="J91" r:id="rId90" display="http://www.cninfo.com.cn/information/dividend/szmb002498.html" xr:uid="{00000000-0004-0000-0C00-000059000000}"/>
    <hyperlink ref="J92" r:id="rId91" display="http://www.cninfo.com.cn/information/dividend/szmb002202.html" xr:uid="{00000000-0004-0000-0C00-00005A000000}"/>
    <hyperlink ref="J93" r:id="rId92" display="http://www.cninfo.com.cn/information/dividend/shmb601766.html" xr:uid="{00000000-0004-0000-0C00-00005B000000}"/>
    <hyperlink ref="J94" r:id="rId93" display="http://www.cninfo.com.cn/information/dividend/szmb000338.html" xr:uid="{00000000-0004-0000-0C00-00005C000000}"/>
    <hyperlink ref="J95" r:id="rId94" display="http://www.cninfo.com.cn/information/dividend/szmb002142.html" xr:uid="{00000000-0004-0000-0C00-00005D000000}"/>
    <hyperlink ref="J96" r:id="rId95" display="http://www.cninfo.com.cn/information/dividend/shmb600009.html" xr:uid="{00000000-0004-0000-0C00-00005E000000}"/>
    <hyperlink ref="J97" r:id="rId96" display="http://www.cninfo.com.cn/information/dividend/shmb600170.html" xr:uid="{00000000-0004-0000-0C00-00005F000000}"/>
    <hyperlink ref="J98" r:id="rId97" display="http://www.cninfo.com.cn/information/dividend/shmb600398.html" xr:uid="{00000000-0004-0000-0C00-000060000000}"/>
    <hyperlink ref="J99" r:id="rId98" display="http://www.cninfo.com.cn/information/dividend/shmb601369.html" xr:uid="{00000000-0004-0000-0C00-000061000000}"/>
    <hyperlink ref="J100" r:id="rId99" display="http://www.cninfo.com.cn/information/dividend/shmb600000.html" xr:uid="{00000000-0004-0000-0C00-000062000000}"/>
    <hyperlink ref="J101" r:id="rId100" display="http://www.cninfo.com.cn/information/dividend/szmb002146.html" xr:uid="{00000000-0004-0000-0C00-000063000000}"/>
    <hyperlink ref="A104" r:id="rId101" display="https://www.google.com.hk/finance?q=SHE%3A000651&amp;client=fss&amp;ei=K7K5V-H6IMGXiALpzI6wCQ&amp;gl=cn" xr:uid="{00000000-0004-0000-0C00-000064000000}"/>
    <hyperlink ref="B104" r:id="rId102" display="https://www.google.com.hk/finance?q=SHE%3A000651&amp;client=fss&amp;ei=K7K5V-H6IMGXiALpzI6wCQ&amp;gl=cn" xr:uid="{00000000-0004-0000-0C00-000065000000}"/>
    <hyperlink ref="A105" r:id="rId103" display="https://www.google.com.hk/finance?q=SHA%3A601006&amp;client=fss&amp;ei=K7K5V-H6IMGXiALpzI6wCQ&amp;gl=cn" xr:uid="{00000000-0004-0000-0C00-000066000000}"/>
    <hyperlink ref="B105" r:id="rId104" display="https://www.google.com.hk/finance?q=SHA%3A601006&amp;client=fss&amp;ei=K7K5V-H6IMGXiALpzI6wCQ&amp;gl=cn" xr:uid="{00000000-0004-0000-0C00-000067000000}"/>
    <hyperlink ref="A106" r:id="rId105" display="https://www.google.com.hk/finance?q=SHA%3A600066&amp;client=fss&amp;ei=K7K5V-H6IMGXiALpzI6wCQ&amp;gl=cn" xr:uid="{00000000-0004-0000-0C00-000068000000}"/>
    <hyperlink ref="B106" r:id="rId106" display="https://www.google.com.hk/finance?q=SHA%3A600066&amp;client=fss&amp;ei=K7K5V-H6IMGXiALpzI6wCQ&amp;gl=cn" xr:uid="{00000000-0004-0000-0C00-000069000000}"/>
    <hyperlink ref="A107" r:id="rId107" display="https://www.google.com.hk/finance?q=SHA%3A600469&amp;client=fss&amp;ei=K7K5V-H6IMGXiALpzI6wCQ&amp;gl=cn" xr:uid="{00000000-0004-0000-0C00-00006A000000}"/>
    <hyperlink ref="B107" r:id="rId108" display="https://www.google.com.hk/finance?q=SHA%3A600469&amp;client=fss&amp;ei=K7K5V-H6IMGXiALpzI6wCQ&amp;gl=cn" xr:uid="{00000000-0004-0000-0C00-00006B000000}"/>
    <hyperlink ref="A108" r:id="rId109" display="https://www.google.com.hk/finance?q=SHA%3A600011&amp;client=fss&amp;ei=K7K5V-H6IMGXiALpzI6wCQ&amp;gl=cn" xr:uid="{00000000-0004-0000-0C00-00006C000000}"/>
    <hyperlink ref="B108" r:id="rId110" display="https://www.google.com.hk/finance?q=SHA%3A600011&amp;client=fss&amp;ei=K7K5V-H6IMGXiALpzI6wCQ&amp;gl=cn" xr:uid="{00000000-0004-0000-0C00-00006D000000}"/>
    <hyperlink ref="A109" r:id="rId111" display="https://www.google.com.hk/finance?q=SHA%3A600104&amp;client=fss&amp;ei=K7K5V-H6IMGXiALpzI6wCQ&amp;gl=cn" xr:uid="{00000000-0004-0000-0C00-00006E000000}"/>
    <hyperlink ref="B109" r:id="rId112" display="https://www.google.com.hk/finance?q=SHA%3A600104&amp;client=fss&amp;ei=K7K5V-H6IMGXiALpzI6wCQ&amp;gl=cn" xr:uid="{00000000-0004-0000-0C00-00006F000000}"/>
    <hyperlink ref="A110" r:id="rId113" display="https://www.google.com.hk/finance?q=SHA%3A600027&amp;client=fss&amp;ei=K7K5V-H6IMGXiALpzI6wCQ&amp;gl=cn" xr:uid="{00000000-0004-0000-0C00-000070000000}"/>
    <hyperlink ref="B110" r:id="rId114" display="https://www.google.com.hk/finance?q=SHA%3A600027&amp;client=fss&amp;ei=K7K5V-H6IMGXiALpzI6wCQ&amp;gl=cn" xr:uid="{00000000-0004-0000-0C00-000071000000}"/>
    <hyperlink ref="A111" r:id="rId115" display="https://www.google.com.hk/finance?q=SHA%3A601398&amp;client=fss&amp;ei=K7K5V-H6IMGXiALpzI6wCQ&amp;gl=cn" xr:uid="{00000000-0004-0000-0C00-000072000000}"/>
    <hyperlink ref="B111" r:id="rId116" display="https://www.google.com.hk/finance?q=SHA%3A601398&amp;client=fss&amp;ei=K7K5V-H6IMGXiALpzI6wCQ&amp;gl=cn" xr:uid="{00000000-0004-0000-0C00-000073000000}"/>
    <hyperlink ref="A112" r:id="rId117" display="https://www.google.com.hk/finance?q=SHA%3A601288&amp;client=fss&amp;ei=K7K5V-H6IMGXiALpzI6wCQ&amp;gl=cn" xr:uid="{00000000-0004-0000-0C00-000074000000}"/>
    <hyperlink ref="B112" r:id="rId118" display="https://www.google.com.hk/finance?q=SHA%3A601288&amp;client=fss&amp;ei=K7K5V-H6IMGXiALpzI6wCQ&amp;gl=cn" xr:uid="{00000000-0004-0000-0C00-000075000000}"/>
    <hyperlink ref="A113" r:id="rId119" display="https://www.google.com.hk/finance?q=SHA%3A601939&amp;client=fss&amp;ei=K7K5V-H6IMGXiALpzI6wCQ&amp;gl=cn" xr:uid="{00000000-0004-0000-0C00-000076000000}"/>
    <hyperlink ref="B113" r:id="rId120" display="https://www.google.com.hk/finance?q=SHA%3A601939&amp;client=fss&amp;ei=K7K5V-H6IMGXiALpzI6wCQ&amp;gl=cn" xr:uid="{00000000-0004-0000-0C00-000077000000}"/>
    <hyperlink ref="A114" r:id="rId121" display="https://www.google.com.hk/finance?q=SHA%3A600177&amp;client=fss&amp;ei=K7K5V-H6IMGXiALpzI6wCQ&amp;gl=cn" xr:uid="{00000000-0004-0000-0C00-000078000000}"/>
    <hyperlink ref="B114" r:id="rId122" display="https://www.google.com.hk/finance?q=SHA%3A600177&amp;client=fss&amp;ei=K7K5V-H6IMGXiALpzI6wCQ&amp;gl=cn" xr:uid="{00000000-0004-0000-0C00-000079000000}"/>
    <hyperlink ref="A115" r:id="rId123" display="https://www.google.com.hk/finance?q=SHA%3A600182&amp;client=fss&amp;ei=K7K5V-H6IMGXiALpzI6wCQ&amp;gl=cn" xr:uid="{00000000-0004-0000-0C00-00007A000000}"/>
    <hyperlink ref="B115" r:id="rId124" display="https://www.google.com.hk/finance?q=SHA%3A600182&amp;client=fss&amp;ei=K7K5V-H6IMGXiALpzI6wCQ&amp;gl=cn" xr:uid="{00000000-0004-0000-0C00-00007B000000}"/>
    <hyperlink ref="A116" r:id="rId125" display="https://www.google.com.hk/finance?q=SHA%3A601988&amp;client=fss&amp;ei=K7K5V-H6IMGXiALpzI6wCQ&amp;gl=cn" xr:uid="{00000000-0004-0000-0C00-00007C000000}"/>
    <hyperlink ref="B116" r:id="rId126" display="https://www.google.com.hk/finance?q=SHA%3A601988&amp;client=fss&amp;ei=K7K5V-H6IMGXiALpzI6wCQ&amp;gl=cn" xr:uid="{00000000-0004-0000-0C00-00007D000000}"/>
    <hyperlink ref="A117" r:id="rId127" display="https://www.google.com.hk/finance?q=SHE%3A000895&amp;client=fss&amp;ei=K7K5V-H6IMGXiALpzI6wCQ&amp;gl=cn" xr:uid="{00000000-0004-0000-0C00-00007E000000}"/>
    <hyperlink ref="B117" r:id="rId128" display="https://www.google.com.hk/finance?q=SHE%3A000895&amp;client=fss&amp;ei=K7K5V-H6IMGXiALpzI6wCQ&amp;gl=cn" xr:uid="{00000000-0004-0000-0C00-00007F000000}"/>
    <hyperlink ref="A118" r:id="rId129" display="https://www.google.com.hk/finance?q=SHA%3A600894&amp;client=fss&amp;ei=K7K5V-H6IMGXiALpzI6wCQ&amp;gl=cn" xr:uid="{00000000-0004-0000-0C00-000080000000}"/>
    <hyperlink ref="B118" r:id="rId130" display="https://www.google.com.hk/finance?q=SHA%3A600894&amp;client=fss&amp;ei=K7K5V-H6IMGXiALpzI6wCQ&amp;gl=cn" xr:uid="{00000000-0004-0000-0C00-000081000000}"/>
    <hyperlink ref="A119" r:id="rId131" display="https://www.google.com.hk/finance?q=SHA%3A600741&amp;client=fss&amp;ei=K7K5V-H6IMGXiALpzI6wCQ&amp;gl=cn" xr:uid="{00000000-0004-0000-0C00-000082000000}"/>
    <hyperlink ref="B119" r:id="rId132" display="https://www.google.com.hk/finance?q=SHA%3A600741&amp;client=fss&amp;ei=K7K5V-H6IMGXiALpzI6wCQ&amp;gl=cn" xr:uid="{00000000-0004-0000-0C00-000083000000}"/>
    <hyperlink ref="A120" r:id="rId133" display="https://www.google.com.hk/finance?q=SHE%3A000600&amp;client=fss&amp;ei=K7K5V-H6IMGXiALpzI6wCQ&amp;gl=cn" xr:uid="{00000000-0004-0000-0C00-000084000000}"/>
    <hyperlink ref="B120" r:id="rId134" display="https://www.google.com.hk/finance?q=SHE%3A000600&amp;client=fss&amp;ei=K7K5V-H6IMGXiALpzI6wCQ&amp;gl=cn" xr:uid="{00000000-0004-0000-0C00-000085000000}"/>
    <hyperlink ref="A121" r:id="rId135" display="https://www.google.com.hk/finance?q=SHA%3A601818&amp;client=fss&amp;ei=K7K5V-H6IMGXiALpzI6wCQ&amp;gl=cn" xr:uid="{00000000-0004-0000-0C00-000086000000}"/>
    <hyperlink ref="B121" r:id="rId136" display="https://www.google.com.hk/finance?q=SHA%3A601818&amp;client=fss&amp;ei=K7K5V-H6IMGXiALpzI6wCQ&amp;gl=cn" xr:uid="{00000000-0004-0000-0C00-000087000000}"/>
    <hyperlink ref="A122" r:id="rId137" display="https://www.google.com.hk/finance?q=SHA%3A601328&amp;client=fss&amp;ei=K7K5V-H6IMGXiALpzI6wCQ&amp;gl=cn" xr:uid="{00000000-0004-0000-0C00-000088000000}"/>
    <hyperlink ref="B122" r:id="rId138" display="https://www.google.com.hk/finance?q=SHA%3A601328&amp;client=fss&amp;ei=K7K5V-H6IMGXiALpzI6wCQ&amp;gl=cn" xr:uid="{00000000-0004-0000-0C00-000089000000}"/>
    <hyperlink ref="A123" r:id="rId139" display="https://www.google.com.hk/finance?q=SHA%3A600578&amp;client=fss&amp;ei=K7K5V-H6IMGXiALpzI6wCQ&amp;gl=cn" xr:uid="{00000000-0004-0000-0C00-00008A000000}"/>
    <hyperlink ref="B123" r:id="rId140" display="https://www.google.com.hk/finance?q=SHA%3A600578&amp;client=fss&amp;ei=K7K5V-H6IMGXiALpzI6wCQ&amp;gl=cn" xr:uid="{00000000-0004-0000-0C00-00008B000000}"/>
    <hyperlink ref="A124" r:id="rId141" display="https://www.google.com.hk/finance?q=SHA%3A600361&amp;client=fss&amp;ei=K7K5V-H6IMGXiALpzI6wCQ&amp;gl=cn" xr:uid="{00000000-0004-0000-0C00-00008C000000}"/>
    <hyperlink ref="B124" r:id="rId142" display="https://www.google.com.hk/finance?q=SHA%3A600361&amp;client=fss&amp;ei=K7K5V-H6IMGXiALpzI6wCQ&amp;gl=cn" xr:uid="{00000000-0004-0000-0C00-00008D000000}"/>
    <hyperlink ref="A125" r:id="rId143" display="https://www.google.com.hk/finance?q=SHE%3A000776&amp;client=fss&amp;ei=K7K5V-H6IMGXiALpzI6wCQ&amp;gl=cn" xr:uid="{00000000-0004-0000-0C00-00008E000000}"/>
    <hyperlink ref="B125" r:id="rId144" display="https://www.google.com.hk/finance?q=SHE%3A000776&amp;client=fss&amp;ei=K7K5V-H6IMGXiALpzI6wCQ&amp;gl=cn" xr:uid="{00000000-0004-0000-0C00-00008F000000}"/>
    <hyperlink ref="A126" r:id="rId145" display="https://www.google.com.hk/finance?q=SHA%3A601515&amp;client=fss&amp;ei=K7K5V-H6IMGXiALpzI6wCQ&amp;gl=cn" xr:uid="{00000000-0004-0000-0C00-000090000000}"/>
    <hyperlink ref="B126" r:id="rId146" display="https://www.google.com.hk/finance?q=SHA%3A601515&amp;client=fss&amp;ei=K7K5V-H6IMGXiALpzI6wCQ&amp;gl=cn" xr:uid="{00000000-0004-0000-0C00-000091000000}"/>
    <hyperlink ref="A127" r:id="rId147" display="https://www.google.com.hk/finance?q=SHA%3A600660&amp;client=fss&amp;ei=K7K5V-H6IMGXiALpzI6wCQ&amp;gl=cn" xr:uid="{00000000-0004-0000-0C00-000092000000}"/>
    <hyperlink ref="B127" r:id="rId148" display="https://www.google.com.hk/finance?q=SHA%3A600660&amp;client=fss&amp;ei=K7K5V-H6IMGXiALpzI6wCQ&amp;gl=cn" xr:uid="{00000000-0004-0000-0C00-000093000000}"/>
    <hyperlink ref="A128" r:id="rId149" display="https://www.google.com.hk/finance?q=SHA%3A600377&amp;client=fss&amp;ei=K7K5V-H6IMGXiALpzI6wCQ&amp;gl=cn" xr:uid="{00000000-0004-0000-0C00-000094000000}"/>
    <hyperlink ref="B128" r:id="rId150" display="https://www.google.com.hk/finance?q=SHA%3A600377&amp;client=fss&amp;ei=K7K5V-H6IMGXiALpzI6wCQ&amp;gl=cn" xr:uid="{00000000-0004-0000-0C00-000095000000}"/>
    <hyperlink ref="A129" r:id="rId151" display="https://www.google.com.hk/finance?q=SHE%3A000899&amp;client=fss&amp;ei=K7K5V-H6IMGXiALpzI6wCQ&amp;gl=cn" xr:uid="{00000000-0004-0000-0C00-000096000000}"/>
    <hyperlink ref="B129" r:id="rId152" display="https://www.google.com.hk/finance?q=SHE%3A000899&amp;client=fss&amp;ei=K7K5V-H6IMGXiALpzI6wCQ&amp;gl=cn" xr:uid="{00000000-0004-0000-0C00-000097000000}"/>
    <hyperlink ref="A130" r:id="rId153" display="https://www.google.com.hk/finance?q=SHA%3A600999&amp;client=fss&amp;ei=K7K5V-H6IMGXiALpzI6wCQ&amp;gl=cn" xr:uid="{00000000-0004-0000-0C00-000098000000}"/>
    <hyperlink ref="B130" r:id="rId154" display="https://www.google.com.hk/finance?q=SHA%3A600999&amp;client=fss&amp;ei=K7K5V-H6IMGXiALpzI6wCQ&amp;gl=cn" xr:uid="{00000000-0004-0000-0C00-000099000000}"/>
    <hyperlink ref="A131" r:id="rId155" display="https://www.google.com.hk/finance?q=SHE%3A002419&amp;client=fss&amp;ei=K7K5V-H6IMGXiALpzI6wCQ&amp;gl=cn" xr:uid="{00000000-0004-0000-0C00-00009A000000}"/>
    <hyperlink ref="B131" r:id="rId156" display="https://www.google.com.hk/finance?q=SHE%3A002419&amp;client=fss&amp;ei=K7K5V-H6IMGXiALpzI6wCQ&amp;gl=cn" xr:uid="{00000000-0004-0000-0C00-00009B000000}"/>
    <hyperlink ref="A132" r:id="rId157" display="https://www.google.com.hk/finance?q=SHA%3A601991&amp;client=fss&amp;ei=K7K5V-H6IMGXiALpzI6wCQ&amp;gl=cn" xr:uid="{00000000-0004-0000-0C00-00009C000000}"/>
    <hyperlink ref="B132" r:id="rId158" display="https://www.google.com.hk/finance?q=SHA%3A601991&amp;client=fss&amp;ei=K7K5V-H6IMGXiALpzI6wCQ&amp;gl=cn" xr:uid="{00000000-0004-0000-0C00-00009D000000}"/>
    <hyperlink ref="A133" r:id="rId159" display="https://www.google.com.hk/finance?q=SHA%3A600548&amp;client=fss&amp;ei=K7K5V-H6IMGXiALpzI6wCQ&amp;gl=cn" xr:uid="{00000000-0004-0000-0C00-00009E000000}"/>
    <hyperlink ref="B133" r:id="rId160" display="https://www.google.com.hk/finance?q=SHA%3A600548&amp;client=fss&amp;ei=K7K5V-H6IMGXiALpzI6wCQ&amp;gl=cn" xr:uid="{00000000-0004-0000-0C00-00009F000000}"/>
    <hyperlink ref="A134" r:id="rId161" display="https://www.google.com.hk/finance?q=SHA%3A600236&amp;client=fss&amp;ei=K7K5V-H6IMGXiALpzI6wCQ&amp;gl=cn" xr:uid="{00000000-0004-0000-0C00-0000A0000000}"/>
    <hyperlink ref="B134" r:id="rId162" display="https://www.google.com.hk/finance?q=SHA%3A600236&amp;client=fss&amp;ei=K7K5V-H6IMGXiALpzI6wCQ&amp;gl=cn" xr:uid="{00000000-0004-0000-0C00-0000A1000000}"/>
    <hyperlink ref="A135" r:id="rId163" display="https://www.google.com.hk/finance?q=SHE%3A200022&amp;client=fss&amp;ei=K7K5V-H6IMGXiALpzI6wCQ&amp;gl=cn" xr:uid="{00000000-0004-0000-0C00-0000A2000000}"/>
    <hyperlink ref="B135" r:id="rId164" display="https://www.google.com.hk/finance?q=SHE%3A200022&amp;client=fss&amp;ei=K7K5V-H6IMGXiALpzI6wCQ&amp;gl=cn" xr:uid="{00000000-0004-0000-0C00-0000A3000000}"/>
    <hyperlink ref="A136" r:id="rId165" display="https://www.google.com.hk/finance?q=SHA%3A600886&amp;client=fss&amp;ei=K7K5V-H6IMGXiALpzI6wCQ&amp;gl=cn" xr:uid="{00000000-0004-0000-0C00-0000A4000000}"/>
    <hyperlink ref="B136" r:id="rId166" display="https://www.google.com.hk/finance?q=SHA%3A600886&amp;client=fss&amp;ei=K7K5V-H6IMGXiALpzI6wCQ&amp;gl=cn" xr:uid="{00000000-0004-0000-0C00-0000A5000000}"/>
    <hyperlink ref="A137" r:id="rId167" display="https://www.google.com.hk/finance?q=SHA%3A601166&amp;client=fss&amp;ei=K7K5V-H6IMGXiALpzI6wCQ&amp;gl=cn" xr:uid="{00000000-0004-0000-0C00-0000A6000000}"/>
    <hyperlink ref="B137" r:id="rId168" display="https://www.google.com.hk/finance?q=SHA%3A601166&amp;client=fss&amp;ei=K7K5V-H6IMGXiALpzI6wCQ&amp;gl=cn" xr:uid="{00000000-0004-0000-0C00-0000A7000000}"/>
    <hyperlink ref="A138" r:id="rId169" display="https://www.google.com.hk/finance?q=SHA%3A600859&amp;client=fss&amp;ei=K7K5V-H6IMGXiALpzI6wCQ&amp;gl=cn" xr:uid="{00000000-0004-0000-0C00-0000A8000000}"/>
    <hyperlink ref="B138" r:id="rId170" display="https://www.google.com.hk/finance?q=SHA%3A600859&amp;client=fss&amp;ei=K7K5V-H6IMGXiALpzI6wCQ&amp;gl=cn" xr:uid="{00000000-0004-0000-0C00-0000A9000000}"/>
    <hyperlink ref="A139" r:id="rId171" display="https://www.google.com.hk/finance?q=SHA%3A601601&amp;client=fss&amp;ei=K7K5V-H6IMGXiALpzI6wCQ&amp;gl=cn" xr:uid="{00000000-0004-0000-0C00-0000AA000000}"/>
    <hyperlink ref="B139" r:id="rId172" display="https://www.google.com.hk/finance?q=SHA%3A601601&amp;client=fss&amp;ei=K7K5V-H6IMGXiALpzI6wCQ&amp;gl=cn" xr:uid="{00000000-0004-0000-0C00-0000AB000000}"/>
    <hyperlink ref="A140" r:id="rId173" display="https://www.google.com.hk/finance?q=SHE%3A002394&amp;client=fss&amp;ei=K7K5V-H6IMGXiALpzI6wCQ&amp;gl=cn" xr:uid="{00000000-0004-0000-0C00-0000AC000000}"/>
    <hyperlink ref="B140" r:id="rId174" display="https://www.google.com.hk/finance?q=SHE%3A002394&amp;client=fss&amp;ei=K7K5V-H6IMGXiALpzI6wCQ&amp;gl=cn" xr:uid="{00000000-0004-0000-0C00-0000AD000000}"/>
    <hyperlink ref="A141" r:id="rId175" display="https://www.google.com.hk/finance?q=SHA%3A600036&amp;client=fss&amp;ei=K7K5V-H6IMGXiALpzI6wCQ&amp;gl=cn" xr:uid="{00000000-0004-0000-0C00-0000AE000000}"/>
    <hyperlink ref="B141" r:id="rId176" display="https://www.google.com.hk/finance?q=SHA%3A600036&amp;client=fss&amp;ei=K7K5V-H6IMGXiALpzI6wCQ&amp;gl=cn" xr:uid="{00000000-0004-0000-0C00-0000AF000000}"/>
    <hyperlink ref="A142" r:id="rId177" display="https://www.google.com.hk/finance?q=SHE%3A000543&amp;client=fss&amp;ei=K7K5V-H6IMGXiALpzI6wCQ&amp;gl=cn" xr:uid="{00000000-0004-0000-0C00-0000B0000000}"/>
    <hyperlink ref="B142" r:id="rId178" display="https://www.google.com.hk/finance?q=SHE%3A000543&amp;client=fss&amp;ei=K7K5V-H6IMGXiALpzI6wCQ&amp;gl=cn" xr:uid="{00000000-0004-0000-0C00-0000B1000000}"/>
    <hyperlink ref="A143" r:id="rId179" display="https://www.google.com.hk/finance?q=SHA%3A601877&amp;client=fss&amp;ei=K7K5V-H6IMGXiALpzI6wCQ&amp;gl=cn" xr:uid="{00000000-0004-0000-0C00-0000B2000000}"/>
    <hyperlink ref="B143" r:id="rId180" display="https://www.google.com.hk/finance?q=SHA%3A601877&amp;client=fss&amp;ei=K7K5V-H6IMGXiALpzI6wCQ&amp;gl=cn" xr:uid="{00000000-0004-0000-0C00-0000B3000000}"/>
    <hyperlink ref="A144" r:id="rId181" display="https://www.google.com.hk/finance?q=SHA%3A600795&amp;client=fss&amp;ei=K7K5V-H6IMGXiALpzI6wCQ&amp;gl=cn" xr:uid="{00000000-0004-0000-0C00-0000B4000000}"/>
    <hyperlink ref="B144" r:id="rId182" display="https://www.google.com.hk/finance?q=SHA%3A600795&amp;client=fss&amp;ei=K7K5V-H6IMGXiALpzI6wCQ&amp;gl=cn" xr:uid="{00000000-0004-0000-0C00-0000B5000000}"/>
    <hyperlink ref="A145" r:id="rId183" display="https://www.google.com.hk/finance?q=SHA%3A603001&amp;client=fss&amp;ei=K7K5V-H6IMGXiALpzI6wCQ&amp;gl=cn" xr:uid="{00000000-0004-0000-0C00-0000B6000000}"/>
    <hyperlink ref="B145" r:id="rId184" display="https://www.google.com.hk/finance?q=SHA%3A603001&amp;client=fss&amp;ei=K7K5V-H6IMGXiALpzI6wCQ&amp;gl=cn" xr:uid="{00000000-0004-0000-0C00-0000B7000000}"/>
    <hyperlink ref="A146" r:id="rId185" display="https://www.google.com.hk/finance?q=SHE%3A001696&amp;client=fss&amp;ei=K7K5V-H6IMGXiALpzI6wCQ&amp;gl=cn" xr:uid="{00000000-0004-0000-0C00-0000B8000000}"/>
    <hyperlink ref="B146" r:id="rId186" display="https://www.google.com.hk/finance?q=SHE%3A001696&amp;client=fss&amp;ei=K7K5V-H6IMGXiALpzI6wCQ&amp;gl=cn" xr:uid="{00000000-0004-0000-0C00-0000B9000000}"/>
    <hyperlink ref="A147" r:id="rId187" display="https://www.google.com.hk/finance?q=SHA%3A600048&amp;client=fss&amp;ei=K7K5V-H6IMGXiALpzI6wCQ&amp;gl=cn" xr:uid="{00000000-0004-0000-0C00-0000BA000000}"/>
    <hyperlink ref="B147" r:id="rId188" display="https://www.google.com.hk/finance?q=SHA%3A600048&amp;client=fss&amp;ei=K7K5V-H6IMGXiALpzI6wCQ&amp;gl=cn" xr:uid="{00000000-0004-0000-0C00-0000BB000000}"/>
    <hyperlink ref="A148" r:id="rId189" display="https://www.google.com.hk/finance?q=SHE%3A000525&amp;client=fss&amp;ei=K7K5V-H6IMGXiALpzI6wCQ&amp;gl=cn" xr:uid="{00000000-0004-0000-0C00-0000BC000000}"/>
    <hyperlink ref="B148" r:id="rId190" display="https://www.google.com.hk/finance?q=SHE%3A000525&amp;client=fss&amp;ei=K7K5V-H6IMGXiALpzI6wCQ&amp;gl=cn" xr:uid="{00000000-0004-0000-0C00-0000BD000000}"/>
    <hyperlink ref="A149" r:id="rId191" display="https://www.google.com.hk/finance?q=SHA%3A600015&amp;client=fss&amp;ei=K7K5V-H6IMGXiALpzI6wCQ&amp;gl=cn" xr:uid="{00000000-0004-0000-0C00-0000BE000000}"/>
    <hyperlink ref="B149" r:id="rId192" display="https://www.google.com.hk/finance?q=SHA%3A600015&amp;client=fss&amp;ei=K7K5V-H6IMGXiALpzI6wCQ&amp;gl=cn" xr:uid="{00000000-0004-0000-0C00-0000BF000000}"/>
    <hyperlink ref="A150" r:id="rId193" display="https://www.google.com.hk/finance?q=SHA%3A600020&amp;client=fss&amp;ei=K7K5V-H6IMGXiALpzI6wCQ&amp;gl=cn" xr:uid="{00000000-0004-0000-0C00-0000C0000000}"/>
    <hyperlink ref="B150" r:id="rId194" display="https://www.google.com.hk/finance?q=SHA%3A600020&amp;client=fss&amp;ei=K7K5V-H6IMGXiALpzI6wCQ&amp;gl=cn" xr:uid="{00000000-0004-0000-0C00-0000C1000000}"/>
    <hyperlink ref="A151" r:id="rId195" display="https://www.google.com.hk/finance?q=SHA%3A601158&amp;client=fss&amp;ei=K7K5V-H6IMGXiALpzI6wCQ&amp;gl=cn" xr:uid="{00000000-0004-0000-0C00-0000C2000000}"/>
    <hyperlink ref="B151" r:id="rId196" display="https://www.google.com.hk/finance?q=SHA%3A601158&amp;client=fss&amp;ei=K7K5V-H6IMGXiALpzI6wCQ&amp;gl=cn" xr:uid="{00000000-0004-0000-0C00-0000C3000000}"/>
    <hyperlink ref="A152" r:id="rId197" display="https://www.google.com.hk/finance?q=SHE%3A002242&amp;client=fss&amp;ei=K7K5V-H6IMGXiALpzI6wCQ&amp;gl=cn" xr:uid="{00000000-0004-0000-0C00-0000C4000000}"/>
    <hyperlink ref="B152" r:id="rId198" display="https://www.google.com.hk/finance?q=SHE%3A002242&amp;client=fss&amp;ei=K7K5V-H6IMGXiALpzI6wCQ&amp;gl=cn" xr:uid="{00000000-0004-0000-0C00-0000C5000000}"/>
    <hyperlink ref="A153" r:id="rId199" display="https://www.google.com.hk/finance?q=SHA%3A601788&amp;client=fss&amp;ei=K7K5V-H6IMGXiALpzI6wCQ&amp;gl=cn" xr:uid="{00000000-0004-0000-0C00-0000C6000000}"/>
    <hyperlink ref="B153" r:id="rId200" display="https://www.google.com.hk/finance?q=SHA%3A601788&amp;client=fss&amp;ei=K7K5V-H6IMGXiALpzI6wCQ&amp;gl=cn" xr:uid="{00000000-0004-0000-0C00-0000C7000000}"/>
    <hyperlink ref="A154" r:id="rId201" display="https://www.google.com.hk/finance?q=SHE%3A002736&amp;client=fss&amp;ei=K7K5V-H6IMGXiALpzI6wCQ&amp;gl=cn" xr:uid="{00000000-0004-0000-0C00-0000C8000000}"/>
    <hyperlink ref="B154" r:id="rId202" display="https://www.google.com.hk/finance?q=SHE%3A002736&amp;client=fss&amp;ei=K7K5V-H6IMGXiALpzI6wCQ&amp;gl=cn" xr:uid="{00000000-0004-0000-0C00-0000C9000000}"/>
    <hyperlink ref="A155" r:id="rId203" display="https://www.google.com.hk/finance?q=SHA%3A600315&amp;client=fss&amp;ei=K7K5V-H6IMGXiALpzI6wCQ&amp;gl=cn" xr:uid="{00000000-0004-0000-0C00-0000CA000000}"/>
    <hyperlink ref="B155" r:id="rId204" display="https://www.google.com.hk/finance?q=SHA%3A600315&amp;client=fss&amp;ei=K7K5V-H6IMGXiALpzI6wCQ&amp;gl=cn" xr:uid="{00000000-0004-0000-0C00-0000CB000000}"/>
    <hyperlink ref="A156" r:id="rId205" display="https://www.google.com.hk/finance?q=SHE%3A002003&amp;client=fss&amp;ei=K7K5V-H6IMGXiALpzI6wCQ&amp;gl=cn" xr:uid="{00000000-0004-0000-0C00-0000CC000000}"/>
    <hyperlink ref="B156" r:id="rId206" display="https://www.google.com.hk/finance?q=SHE%3A002003&amp;client=fss&amp;ei=K7K5V-H6IMGXiALpzI6wCQ&amp;gl=cn" xr:uid="{00000000-0004-0000-0C00-0000CD000000}"/>
    <hyperlink ref="A157" r:id="rId207" display="https://www.google.com.hk/finance?q=SHA%3A601000&amp;client=fss&amp;ei=K7K5V-H6IMGXiALpzI6wCQ&amp;gl=cn" xr:uid="{00000000-0004-0000-0C00-0000CE000000}"/>
    <hyperlink ref="B157" r:id="rId208" display="https://www.google.com.hk/finance?q=SHA%3A601000&amp;client=fss&amp;ei=K7K5V-H6IMGXiALpzI6wCQ&amp;gl=cn" xr:uid="{00000000-0004-0000-0C00-0000CF000000}"/>
    <hyperlink ref="A158" r:id="rId209" display="https://www.google.com.hk/finance?q=SHA%3A600383&amp;client=fss&amp;ei=K7K5V-H6IMGXiALpzI6wCQ&amp;gl=cn" xr:uid="{00000000-0004-0000-0C00-0000D0000000}"/>
    <hyperlink ref="B158" r:id="rId210" display="https://www.google.com.hk/finance?q=SHA%3A600383&amp;client=fss&amp;ei=K7K5V-H6IMGXiALpzI6wCQ&amp;gl=cn" xr:uid="{00000000-0004-0000-0C00-0000D1000000}"/>
    <hyperlink ref="A159" r:id="rId211" display="https://www.google.com.hk/finance?q=SHA%3A601009&amp;client=fss&amp;ei=K7K5V-H6IMGXiALpzI6wCQ&amp;gl=cn" xr:uid="{00000000-0004-0000-0C00-0000D2000000}"/>
    <hyperlink ref="B159" r:id="rId212" display="https://www.google.com.hk/finance?q=SHA%3A601009&amp;client=fss&amp;ei=K7K5V-H6IMGXiALpzI6wCQ&amp;gl=cn" xr:uid="{00000000-0004-0000-0C00-0000D3000000}"/>
    <hyperlink ref="A160" r:id="rId213" display="https://www.google.com.hk/finance?q=SHA%3A601998&amp;client=fss&amp;ei=K7K5V-H6IMGXiALpzI6wCQ&amp;gl=cn" xr:uid="{00000000-0004-0000-0C00-0000D4000000}"/>
    <hyperlink ref="B160" r:id="rId214" display="https://www.google.com.hk/finance?q=SHA%3A601998&amp;client=fss&amp;ei=K7K5V-H6IMGXiALpzI6wCQ&amp;gl=cn" xr:uid="{00000000-0004-0000-0C00-0000D5000000}"/>
    <hyperlink ref="A161" r:id="rId215" display="https://www.google.com.hk/finance?q=SHA%3A600642&amp;client=fss&amp;ei=K7K5V-H6IMGXiALpzI6wCQ&amp;gl=cn" xr:uid="{00000000-0004-0000-0C00-0000D6000000}"/>
    <hyperlink ref="B161" r:id="rId216" display="https://www.google.com.hk/finance?q=SHA%3A600642&amp;client=fss&amp;ei=K7K5V-H6IMGXiALpzI6wCQ&amp;gl=cn" xr:uid="{00000000-0004-0000-0C00-0000D7000000}"/>
    <hyperlink ref="A162" r:id="rId217" display="https://www.google.com.hk/finance?q=SHA%3A601211&amp;client=fss&amp;ei=K7K5V-H6IMGXiALpzI6wCQ&amp;gl=cn" xr:uid="{00000000-0004-0000-0C00-0000D8000000}"/>
    <hyperlink ref="B162" r:id="rId218" display="https://www.google.com.hk/finance?q=SHA%3A601211&amp;client=fss&amp;ei=K7K5V-H6IMGXiALpzI6wCQ&amp;gl=cn" xr:uid="{00000000-0004-0000-0C00-0000D9000000}"/>
    <hyperlink ref="A163" r:id="rId219" display="https://www.google.com.hk/finance?q=SHA%3A600583&amp;client=fss&amp;ei=K7K5V-H6IMGXiALpzI6wCQ&amp;gl=cn" xr:uid="{00000000-0004-0000-0C00-0000DA000000}"/>
    <hyperlink ref="B163" r:id="rId220" display="https://www.google.com.hk/finance?q=SHA%3A600583&amp;client=fss&amp;ei=K7K5V-H6IMGXiALpzI6wCQ&amp;gl=cn" xr:uid="{00000000-0004-0000-0C00-0000DB000000}"/>
    <hyperlink ref="A164" r:id="rId221" display="https://www.google.com.hk/finance?q=SHE%3A000876&amp;client=fss&amp;ei=K7K5V-H6IMGXiALpzI6wCQ&amp;gl=cn" xr:uid="{00000000-0004-0000-0C00-0000DC000000}"/>
    <hyperlink ref="B164" r:id="rId222" display="https://www.google.com.hk/finance?q=SHE%3A000876&amp;client=fss&amp;ei=K7K5V-H6IMGXiALpzI6wCQ&amp;gl=cn" xr:uid="{00000000-0004-0000-0C00-0000DD000000}"/>
    <hyperlink ref="A165" r:id="rId223" display="https://www.google.com.hk/finance?q=SHE%3A300158&amp;client=fss&amp;ei=K7K5V-H6IMGXiALpzI6wCQ&amp;gl=cn" xr:uid="{00000000-0004-0000-0C00-0000DE000000}"/>
    <hyperlink ref="B165" r:id="rId224" display="https://www.google.com.hk/finance?q=SHE%3A300158&amp;client=fss&amp;ei=K7K5V-H6IMGXiALpzI6wCQ&amp;gl=cn" xr:uid="{00000000-0004-0000-0C00-0000DF000000}"/>
    <hyperlink ref="A166" r:id="rId225" display="https://www.google.com.hk/finance?q=SHE%3A000783&amp;client=fss&amp;ei=K7K5V-H6IMGXiALpzI6wCQ&amp;gl=cn" xr:uid="{00000000-0004-0000-0C00-0000E0000000}"/>
    <hyperlink ref="B166" r:id="rId226" display="https://www.google.com.hk/finance?q=SHE%3A000783&amp;client=fss&amp;ei=K7K5V-H6IMGXiALpzI6wCQ&amp;gl=cn" xr:uid="{00000000-0004-0000-0C00-0000E1000000}"/>
    <hyperlink ref="A167" r:id="rId227" display="https://www.google.com.hk/finance?q=SHA%3A601668&amp;client=fss&amp;ei=K7K5V-H6IMGXiALpzI6wCQ&amp;gl=cn" xr:uid="{00000000-0004-0000-0C00-0000E2000000}"/>
    <hyperlink ref="B167" r:id="rId228" display="https://www.google.com.hk/finance?q=SHA%3A601668&amp;client=fss&amp;ei=K7K5V-H6IMGXiALpzI6wCQ&amp;gl=cn" xr:uid="{00000000-0004-0000-0C00-0000E3000000}"/>
    <hyperlink ref="A168" r:id="rId229" display="https://www.google.com.hk/finance?q=SHA%3A600269&amp;client=fss&amp;ei=K7K5V-H6IMGXiALpzI6wCQ&amp;gl=cn" xr:uid="{00000000-0004-0000-0C00-0000E4000000}"/>
    <hyperlink ref="B168" r:id="rId230" display="https://www.google.com.hk/finance?q=SHA%3A600269&amp;client=fss&amp;ei=K7K5V-H6IMGXiALpzI6wCQ&amp;gl=cn" xr:uid="{00000000-0004-0000-0C00-0000E5000000}"/>
    <hyperlink ref="A169" r:id="rId231" display="https://www.google.com.hk/finance?q=SHE%3A002083&amp;client=fss&amp;ei=K7K5V-H6IMGXiALpzI6wCQ&amp;gl=cn" xr:uid="{00000000-0004-0000-0C00-0000E6000000}"/>
    <hyperlink ref="B169" r:id="rId232" display="https://www.google.com.hk/finance?q=SHE%3A002083&amp;client=fss&amp;ei=K7K5V-H6IMGXiALpzI6wCQ&amp;gl=cn" xr:uid="{00000000-0004-0000-0C00-0000E7000000}"/>
    <hyperlink ref="A170" r:id="rId233" display="https://www.google.com.hk/finance?q=SHE%3A002146&amp;client=fss&amp;ei=K7K5V-H6IMGXiALpzI6wCQ&amp;gl=cn" xr:uid="{00000000-0004-0000-0C00-0000E8000000}"/>
    <hyperlink ref="B170" r:id="rId234" display="https://www.google.com.hk/finance?q=SHE%3A002146&amp;client=fss&amp;ei=K7K5V-H6IMGXiALpzI6wCQ&amp;gl=cn" xr:uid="{00000000-0004-0000-0C00-0000E9000000}"/>
    <hyperlink ref="A171" r:id="rId235" display="https://www.google.com.hk/finance?q=SHA%3A600023&amp;client=fss&amp;ei=K7K5V-H6IMGXiALpzI6wCQ&amp;gl=cn" xr:uid="{00000000-0004-0000-0C00-0000EA000000}"/>
    <hyperlink ref="B171" r:id="rId236" display="https://www.google.com.hk/finance?q=SHA%3A600023&amp;client=fss&amp;ei=K7K5V-H6IMGXiALpzI6wCQ&amp;gl=cn" xr:uid="{00000000-0004-0000-0C00-0000EB000000}"/>
    <hyperlink ref="A172" r:id="rId237" display="https://www.google.com.hk/finance?q=SHA%3A600028&amp;client=fss&amp;ei=K7K5V-H6IMGXiALpzI6wCQ&amp;gl=cn" xr:uid="{00000000-0004-0000-0C00-0000EC000000}"/>
    <hyperlink ref="B172" r:id="rId238" display="https://www.google.com.hk/finance?q=SHA%3A600028&amp;client=fss&amp;ei=K7K5V-H6IMGXiALpzI6wCQ&amp;gl=cn" xr:uid="{00000000-0004-0000-0C00-0000ED000000}"/>
    <hyperlink ref="A173" r:id="rId239" display="https://www.google.com.hk/finance?q=SHA%3A600030&amp;client=fss&amp;ei=K7K5V-H6IMGXiALpzI6wCQ&amp;gl=cn" xr:uid="{00000000-0004-0000-0C00-0000EE000000}"/>
    <hyperlink ref="B173" r:id="rId240" display="https://www.google.com.hk/finance?q=SHA%3A600030&amp;client=fss&amp;ei=K7K5V-H6IMGXiALpzI6wCQ&amp;gl=cn" xr:uid="{00000000-0004-0000-0C00-0000EF000000}"/>
    <hyperlink ref="A174" r:id="rId241" display="https://www.google.com.hk/finance?q=SHA%3A601566&amp;client=fss&amp;ei=K7K5V-H6IMGXiALpzI6wCQ&amp;gl=cn" xr:uid="{00000000-0004-0000-0C00-0000F0000000}"/>
    <hyperlink ref="B174" r:id="rId242" display="https://www.google.com.hk/finance?q=SHA%3A601566&amp;client=fss&amp;ei=K7K5V-H6IMGXiALpzI6wCQ&amp;gl=cn" xr:uid="{00000000-0004-0000-0C00-0000F1000000}"/>
    <hyperlink ref="A175" r:id="rId243" display="https://www.google.com.hk/finance?q=SHA%3A600033&amp;client=fss&amp;ei=K7K5V-H6IMGXiALpzI6wCQ&amp;gl=cn" xr:uid="{00000000-0004-0000-0C00-0000F2000000}"/>
    <hyperlink ref="B175" r:id="rId244" display="https://www.google.com.hk/finance?q=SHA%3A600033&amp;client=fss&amp;ei=K7K5V-H6IMGXiALpzI6wCQ&amp;gl=cn" xr:uid="{00000000-0004-0000-0C00-0000F3000000}"/>
    <hyperlink ref="A176" r:id="rId245" display="https://www.google.com.hk/finance?q=SHE%3A000002&amp;client=fss&amp;ei=K7K5V-H6IMGXiALpzI6wCQ&amp;gl=cn" xr:uid="{00000000-0004-0000-0C00-0000F4000000}"/>
    <hyperlink ref="B176" r:id="rId246" display="https://www.google.com.hk/finance?q=SHE%3A000002&amp;client=fss&amp;ei=K7K5V-H6IMGXiALpzI6wCQ&amp;gl=cn" xr:uid="{00000000-0004-0000-0C00-0000F5000000}"/>
    <hyperlink ref="A177" r:id="rId247" display="https://www.google.com.hk/finance?q=SHA%3A600018&amp;client=fss&amp;ei=K7K5V-H6IMGXiALpzI6wCQ&amp;gl=cn" xr:uid="{00000000-0004-0000-0C00-0000F6000000}"/>
    <hyperlink ref="B177" r:id="rId248" display="https://www.google.com.hk/finance?q=SHA%3A600018&amp;client=fss&amp;ei=K7K5V-H6IMGXiALpzI6wCQ&amp;gl=cn" xr:uid="{00000000-0004-0000-0C00-0000F7000000}"/>
    <hyperlink ref="A178" r:id="rId249" display="https://www.google.com.hk/finance?q=SHE%3A000828&amp;client=fss&amp;ei=K7K5V-H6IMGXiALpzI6wCQ&amp;gl=cn" xr:uid="{00000000-0004-0000-0C00-0000F8000000}"/>
    <hyperlink ref="B178" r:id="rId250" display="https://www.google.com.hk/finance?q=SHE%3A000828&amp;client=fss&amp;ei=K7K5V-H6IMGXiALpzI6wCQ&amp;gl=cn" xr:uid="{00000000-0004-0000-0C00-0000F9000000}"/>
    <hyperlink ref="A179" r:id="rId251" display="https://www.google.com.hk/finance?q=SHE%3A000402&amp;client=fss&amp;ei=K7K5V-H6IMGXiALpzI6wCQ&amp;gl=cn" xr:uid="{00000000-0004-0000-0C00-0000FA000000}"/>
    <hyperlink ref="B179" r:id="rId252" display="https://www.google.com.hk/finance?q=SHE%3A000402&amp;client=fss&amp;ei=K7K5V-H6IMGXiALpzI6wCQ&amp;gl=cn" xr:uid="{00000000-0004-0000-0C00-0000FB000000}"/>
    <hyperlink ref="A180" r:id="rId253" display="https://www.google.com.hk/finance?q=SHA%3A600900&amp;client=fss&amp;ei=K7K5V-H6IMGXiALpzI6wCQ&amp;gl=cn" xr:uid="{00000000-0004-0000-0C00-0000FC000000}"/>
    <hyperlink ref="B180" r:id="rId254" display="https://www.google.com.hk/finance?q=SHA%3A600900&amp;client=fss&amp;ei=K7K5V-H6IMGXiALpzI6wCQ&amp;gl=cn" xr:uid="{00000000-0004-0000-0C00-0000FD000000}"/>
    <hyperlink ref="A181" r:id="rId255" display="https://www.google.com.hk/finance?q=SHE%3A000333&amp;client=fss&amp;ei=K7K5V-H6IMGXiALpzI6wCQ&amp;gl=cn" xr:uid="{00000000-0004-0000-0C00-0000FE000000}"/>
    <hyperlink ref="B181" r:id="rId256" display="https://www.google.com.hk/finance?q=SHE%3A000333&amp;client=fss&amp;ei=K7K5V-H6IMGXiALpzI6wCQ&amp;gl=cn" xr:uid="{00000000-0004-0000-0C00-0000FF000000}"/>
    <hyperlink ref="A182" r:id="rId257" display="https://www.google.com.hk/finance?q=SHA%3A600674&amp;client=fss&amp;ei=K7K5V-H6IMGXiALpzI6wCQ&amp;gl=cn" xr:uid="{00000000-0004-0000-0C00-000000010000}"/>
    <hyperlink ref="B182" r:id="rId258" display="https://www.google.com.hk/finance?q=SHA%3A600674&amp;client=fss&amp;ei=K7K5V-H6IMGXiALpzI6wCQ&amp;gl=cn" xr:uid="{00000000-0004-0000-0C00-000001010000}"/>
    <hyperlink ref="A183" r:id="rId259" display="https://www.google.com.hk/finance?q=SHE%3A000027&amp;client=fss&amp;ei=K7K5V-H6IMGXiALpzI6wCQ&amp;gl=cn" xr:uid="{00000000-0004-0000-0C00-000002010000}"/>
    <hyperlink ref="B183" r:id="rId260" display="https://www.google.com.hk/finance?q=SHE%3A000027&amp;client=fss&amp;ei=K7K5V-H6IMGXiALpzI6wCQ&amp;gl=cn" xr:uid="{00000000-0004-0000-0C00-000003010000}"/>
    <hyperlink ref="A184" r:id="rId261" display="https://www.google.com.hk/finance?q=SHA%3A600000&amp;client=fss&amp;ei=K7K5V-H6IMGXiALpzI6wCQ&amp;gl=cn" xr:uid="{00000000-0004-0000-0C00-000004010000}"/>
    <hyperlink ref="B184" r:id="rId262" display="https://www.google.com.hk/finance?q=SHA%3A600000&amp;client=fss&amp;ei=K7K5V-H6IMGXiALpzI6wCQ&amp;gl=cn" xr:uid="{00000000-0004-0000-0C00-000005010000}"/>
    <hyperlink ref="A185" r:id="rId263" display="https://www.google.com.hk/finance?q=SHA%3A600350&amp;client=fss&amp;ei=K7K5V-H6IMGXiALpzI6wCQ&amp;gl=cn" xr:uid="{00000000-0004-0000-0C00-000006010000}"/>
    <hyperlink ref="B185" r:id="rId264" display="https://www.google.com.hk/finance?q=SHA%3A600350&amp;client=fss&amp;ei=K7K5V-H6IMGXiALpzI6wCQ&amp;gl=cn" xr:uid="{00000000-0004-0000-0C00-000007010000}"/>
    <hyperlink ref="A186" r:id="rId265" display="https://www.google.com.hk/finance?q=SHA%3A600837&amp;client=fss&amp;ei=K7K5V-H6IMGXiALpzI6wCQ&amp;gl=cn" xr:uid="{00000000-0004-0000-0C00-000008010000}"/>
    <hyperlink ref="B186" r:id="rId266" display="https://www.google.com.hk/finance?q=SHA%3A600837&amp;client=fss&amp;ei=K7K5V-H6IMGXiALpzI6wCQ&amp;gl=cn" xr:uid="{00000000-0004-0000-0C00-000009010000}"/>
    <hyperlink ref="A187" r:id="rId267" display="https://www.google.com.hk/finance?q=SHE%3A002498&amp;client=fss&amp;ei=K7K5V-H6IMGXiALpzI6wCQ&amp;gl=cn" xr:uid="{00000000-0004-0000-0C00-00000A010000}"/>
    <hyperlink ref="B187" r:id="rId268" display="https://www.google.com.hk/finance?q=SHE%3A002498&amp;client=fss&amp;ei=K7K5V-H6IMGXiALpzI6wCQ&amp;gl=cn" xr:uid="{00000000-0004-0000-0C00-00000B010000}"/>
    <hyperlink ref="A188" r:id="rId269" display="https://www.google.com.hk/finance?q=SHE%3A002202&amp;client=fss&amp;ei=K7K5V-H6IMGXiALpzI6wCQ&amp;gl=cn" xr:uid="{00000000-0004-0000-0C00-00000C010000}"/>
    <hyperlink ref="B188" r:id="rId270" display="https://www.google.com.hk/finance?q=SHE%3A002202&amp;client=fss&amp;ei=K7K5V-H6IMGXiALpzI6wCQ&amp;gl=cn" xr:uid="{00000000-0004-0000-0C00-00000D010000}"/>
    <hyperlink ref="A189" r:id="rId271" display="https://www.google.com.hk/finance?q=SHE%3A000540&amp;client=fss&amp;ei=K7K5V-H6IMGXiALpzI6wCQ&amp;gl=cn" xr:uid="{00000000-0004-0000-0C00-00000E010000}"/>
    <hyperlink ref="B189" r:id="rId272" display="https://www.google.com.hk/finance?q=SHE%3A000540&amp;client=fss&amp;ei=K7K5V-H6IMGXiALpzI6wCQ&amp;gl=cn" xr:uid="{00000000-0004-0000-0C00-00000F010000}"/>
    <hyperlink ref="A190" r:id="rId273" display="https://www.google.com.hk/finance?q=SHA%3A601766&amp;client=fss&amp;ei=K7K5V-H6IMGXiALpzI6wCQ&amp;gl=cn" xr:uid="{00000000-0004-0000-0C00-000010010000}"/>
    <hyperlink ref="B190" r:id="rId274" display="https://www.google.com.hk/finance?q=SHA%3A601766&amp;client=fss&amp;ei=K7K5V-H6IMGXiALpzI6wCQ&amp;gl=cn" xr:uid="{00000000-0004-0000-0C00-000011010000}"/>
    <hyperlink ref="A191" r:id="rId275" display="https://www.google.com.hk/finance?q=SHE%3A002372&amp;client=fss&amp;ei=K7K5V-H6IMGXiALpzI6wCQ&amp;gl=cn" xr:uid="{00000000-0004-0000-0C00-000012010000}"/>
    <hyperlink ref="B191" r:id="rId276" display="https://www.google.com.hk/finance?q=SHE%3A002372&amp;client=fss&amp;ei=K7K5V-H6IMGXiALpzI6wCQ&amp;gl=cn" xr:uid="{00000000-0004-0000-0C00-000013010000}"/>
    <hyperlink ref="A192" r:id="rId277" display="https://www.google.com.hk/finance?q=SHE%3A002142&amp;client=fss&amp;ei=K7K5V-H6IMGXiALpzI6wCQ&amp;gl=cn" xr:uid="{00000000-0004-0000-0C00-000014010000}"/>
    <hyperlink ref="B192" r:id="rId278" display="https://www.google.com.hk/finance?q=SHE%3A002142&amp;client=fss&amp;ei=K7K5V-H6IMGXiALpzI6wCQ&amp;gl=cn" xr:uid="{00000000-0004-0000-0C00-000015010000}"/>
    <hyperlink ref="A193" r:id="rId279" display="https://www.google.com.hk/finance?q=SHA%3A600312&amp;client=fss&amp;ei=K7K5V-H6IMGXiALpzI6wCQ&amp;gl=cn" xr:uid="{00000000-0004-0000-0C00-000016010000}"/>
    <hyperlink ref="B193" r:id="rId280" display="https://www.google.com.hk/finance?q=SHA%3A600312&amp;client=fss&amp;ei=K7K5V-H6IMGXiALpzI6wCQ&amp;gl=cn" xr:uid="{00000000-0004-0000-0C00-000017010000}"/>
    <hyperlink ref="A194" r:id="rId281" display="https://www.google.com.hk/finance?q=SHA%3A600170&amp;client=fss&amp;ei=K7K5V-H6IMGXiALpzI6wCQ&amp;gl=cn" xr:uid="{00000000-0004-0000-0C00-000018010000}"/>
    <hyperlink ref="B194" r:id="rId282" display="https://www.google.com.hk/finance?q=SHA%3A600170&amp;client=fss&amp;ei=K7K5V-H6IMGXiALpzI6wCQ&amp;gl=cn" xr:uid="{00000000-0004-0000-0C00-000019010000}"/>
    <hyperlink ref="A195" r:id="rId283" display="https://www.google.com.hk/finance?q=SHA%3A600398&amp;client=fss&amp;ei=K7K5V-H6IMGXiALpzI6wCQ&amp;gl=cn" xr:uid="{00000000-0004-0000-0C00-00001A010000}"/>
    <hyperlink ref="B195" r:id="rId284" display="https://www.google.com.hk/finance?q=SHA%3A600398&amp;client=fss&amp;ei=K7K5V-H6IMGXiALpzI6wCQ&amp;gl=cn" xr:uid="{00000000-0004-0000-0C00-00001B010000}"/>
    <hyperlink ref="A196" r:id="rId285" display="https://www.google.com.hk/finance?q=SHA%3A601369&amp;client=fss&amp;ei=K7K5V-H6IMGXiALpzI6wCQ&amp;gl=cn" xr:uid="{00000000-0004-0000-0C00-00001C010000}"/>
    <hyperlink ref="B196" r:id="rId286" display="https://www.google.com.hk/finance?q=SHA%3A601369&amp;client=fss&amp;ei=K7K5V-H6IMGXiALpzI6wCQ&amp;gl=cn" xr:uid="{00000000-0004-0000-0C00-00001D010000}"/>
    <hyperlink ref="A197" r:id="rId287" display="https://www.google.com.hk/finance?q=SHE%3A000685&amp;client=fss&amp;ei=K7K5V-H6IMGXiALpzI6wCQ&amp;gl=cn" xr:uid="{00000000-0004-0000-0C00-00001E010000}"/>
    <hyperlink ref="B197" r:id="rId288" display="https://www.google.com.hk/finance?q=SHE%3A000685&amp;client=fss&amp;ei=K7K5V-H6IMGXiALpzI6wCQ&amp;gl=cn" xr:uid="{00000000-0004-0000-0C00-00001F010000}"/>
    <hyperlink ref="A198" r:id="rId289" display="https://www.google.com.hk/finance?q=SHA%3A600183&amp;client=fss&amp;ei=K7K5V-H6IMGXiALpzI6wCQ&amp;gl=cn" xr:uid="{00000000-0004-0000-0C00-000020010000}"/>
    <hyperlink ref="B198" r:id="rId290" display="https://www.google.com.hk/finance?q=SHA%3A600183&amp;client=fss&amp;ei=K7K5V-H6IMGXiALpzI6wCQ&amp;gl=cn" xr:uid="{00000000-0004-0000-0C00-000021010000}"/>
    <hyperlink ref="A199" r:id="rId291" display="https://www.google.com.hk/finance?q=SHA%3A600509&amp;client=fss&amp;ei=K7K5V-H6IMGXiALpzI6wCQ&amp;gl=cn" xr:uid="{00000000-0004-0000-0C00-000022010000}"/>
    <hyperlink ref="B199" r:id="rId292" display="https://www.google.com.hk/finance?q=SHA%3A600509&amp;client=fss&amp;ei=K7K5V-H6IMGXiALpzI6wCQ&amp;gl=cn" xr:uid="{00000000-0004-0000-0C00-000023010000}"/>
    <hyperlink ref="A200" r:id="rId293" display="https://www.google.com.hk/finance?q=SHA%3A600598&amp;client=fss&amp;ei=K7K5V-H6IMGXiALpzI6wCQ&amp;gl=cn" xr:uid="{00000000-0004-0000-0C00-000024010000}"/>
    <hyperlink ref="B200" r:id="rId294" display="https://www.google.com.hk/finance?q=SHA%3A600598&amp;client=fss&amp;ei=K7K5V-H6IMGXiALpzI6wCQ&amp;gl=cn" xr:uid="{00000000-0004-0000-0C00-000025010000}"/>
    <hyperlink ref="A201" r:id="rId295" display="https://www.google.com.hk/finance?q=SHA%3A600270&amp;client=fss&amp;ei=K7K5V-H6IMGXiALpzI6wCQ&amp;gl=cn" xr:uid="{00000000-0004-0000-0C00-000026010000}"/>
    <hyperlink ref="B201" r:id="rId296" display="https://www.google.com.hk/finance?q=SHA%3A600270&amp;client=fss&amp;ei=K7K5V-H6IMGXiALpzI6wCQ&amp;gl=cn" xr:uid="{00000000-0004-0000-0C00-000027010000}"/>
    <hyperlink ref="A202" r:id="rId297" display="https://www.google.com.hk/finance?q=SHA%3A600958&amp;client=fss&amp;ei=K7K5V-H6IMGXiALpzI6wCQ&amp;gl=cn" xr:uid="{00000000-0004-0000-0C00-000028010000}"/>
    <hyperlink ref="B202" r:id="rId298" display="https://www.google.com.hk/finance?q=SHA%3A600958&amp;client=fss&amp;ei=K7K5V-H6IMGXiALpzI6wCQ&amp;gl=cn" xr:uid="{00000000-0004-0000-0C00-000029010000}"/>
    <hyperlink ref="A203" r:id="rId299" display="https://www.google.com.hk/finance?q=SHE%3A002557&amp;client=fss&amp;ei=K7K5V-H6IMGXiALpzI6wCQ&amp;gl=cn" xr:uid="{00000000-0004-0000-0C00-00002A010000}"/>
    <hyperlink ref="B203" r:id="rId300" display="https://www.google.com.hk/finance?q=SHE%3A002557&amp;client=fss&amp;ei=K7K5V-H6IMGXiALpzI6wCQ&amp;gl=cn" xr:uid="{00000000-0004-0000-0C00-00002B010000}"/>
    <hyperlink ref="A204" r:id="rId301" display="https://www.google.com.hk/finance?q=SHA%3A601633&amp;client=fss&amp;ei=K7K5V-H6IMGXiALpzI6wCQ&amp;gl=cn" xr:uid="{00000000-0004-0000-0C00-00002C010000}"/>
    <hyperlink ref="B204" r:id="rId302" display="https://www.google.com.hk/finance?q=SHA%3A601633&amp;client=fss&amp;ei=K7K5V-H6IMGXiALpzI6wCQ&amp;gl=cn" xr:uid="{00000000-0004-0000-0C00-00002D010000}"/>
    <hyperlink ref="A205" r:id="rId303" display="https://www.google.com.hk/finance?q=SHA%3A600585&amp;client=fss&amp;ei=K7K5V-H6IMGXiALpzI6wCQ&amp;gl=cn" xr:uid="{00000000-0004-0000-0C00-00002E010000}"/>
    <hyperlink ref="B205" r:id="rId304" display="https://www.google.com.hk/finance?q=SHA%3A600585&amp;client=fss&amp;ei=K7K5V-H6IMGXiALpzI6wCQ&amp;gl=cn" xr:uid="{00000000-0004-0000-0C00-00002F010000}"/>
    <hyperlink ref="A206" r:id="rId305" display="https://www.google.com.hk/finance?q=SHA%3A603188&amp;client=fss&amp;ei=K7K5V-H6IMGXiALpzI6wCQ&amp;gl=cn" xr:uid="{00000000-0004-0000-0C00-000030010000}"/>
    <hyperlink ref="B206" r:id="rId306" display="https://www.google.com.hk/finance?q=SHA%3A603188&amp;client=fss&amp;ei=K7K5V-H6IMGXiALpzI6wCQ&amp;gl=cn" xr:uid="{00000000-0004-0000-0C00-000031010000}"/>
    <hyperlink ref="A207" r:id="rId307" display="https://www.google.com.hk/finance?q=SHE%3A000568&amp;client=fss&amp;ei=K7K5V-H6IMGXiALpzI6wCQ&amp;gl=cn" xr:uid="{00000000-0004-0000-0C00-000032010000}"/>
    <hyperlink ref="B207" r:id="rId308" display="https://www.google.com.hk/finance?q=SHE%3A000568&amp;client=fss&amp;ei=K7K5V-H6IMGXiALpzI6wCQ&amp;gl=cn" xr:uid="{00000000-0004-0000-0C00-000033010000}"/>
    <hyperlink ref="A208" r:id="rId309" display="https://www.google.com.hk/finance?q=SHA%3A600197&amp;client=fss&amp;ei=K7K5V-H6IMGXiALpzI6wCQ&amp;gl=cn" xr:uid="{00000000-0004-0000-0C00-000034010000}"/>
    <hyperlink ref="B208" r:id="rId310" display="https://www.google.com.hk/finance?q=SHA%3A600197&amp;client=fss&amp;ei=K7K5V-H6IMGXiALpzI6wCQ&amp;gl=cn" xr:uid="{00000000-0004-0000-0C00-000035010000}"/>
    <hyperlink ref="A209" r:id="rId311" display="https://www.google.com.hk/finance?q=SHA%3A601179&amp;client=fss&amp;ei=K7K5V-H6IMGXiALpzI6wCQ&amp;gl=cn" xr:uid="{00000000-0004-0000-0C00-000036010000}"/>
    <hyperlink ref="B209" r:id="rId312" display="https://www.google.com.hk/finance?q=SHA%3A601179&amp;client=fss&amp;ei=K7K5V-H6IMGXiALpzI6wCQ&amp;gl=cn" xr:uid="{00000000-0004-0000-0C00-000037010000}"/>
    <hyperlink ref="A210" r:id="rId313" display="https://www.google.com.hk/finance?q=SHE%3A002275&amp;client=fss&amp;ei=K7K5V-H6IMGXiALpzI6wCQ&amp;gl=cn" xr:uid="{00000000-0004-0000-0C00-000038010000}"/>
    <hyperlink ref="B210" r:id="rId314" display="https://www.google.com.hk/finance?q=SHE%3A002275&amp;client=fss&amp;ei=K7K5V-H6IMGXiALpzI6wCQ&amp;gl=cn" xr:uid="{00000000-0004-0000-0C00-000039010000}"/>
    <hyperlink ref="A211" r:id="rId315" display="https://www.google.com.hk/finance?q=SHE%3A002304&amp;client=fss&amp;ei=K7K5V-H6IMGXiALpzI6wCQ&amp;gl=cn" xr:uid="{00000000-0004-0000-0C00-00003A010000}"/>
    <hyperlink ref="B211" r:id="rId316" display="https://www.google.com.hk/finance?q=SHE%3A002304&amp;client=fss&amp;ei=K7K5V-H6IMGXiALpzI6wCQ&amp;gl=cn" xr:uid="{00000000-0004-0000-0C00-00003B010000}"/>
    <hyperlink ref="A212" r:id="rId317" display="https://www.google.com.hk/finance?q=SHA%3A600016&amp;client=fss&amp;ei=K7K5V-H6IMGXiALpzI6wCQ&amp;gl=cn" xr:uid="{00000000-0004-0000-0C00-00003C010000}"/>
    <hyperlink ref="B212" r:id="rId318" display="https://www.google.com.hk/finance?q=SHA%3A600016&amp;client=fss&amp;ei=K7K5V-H6IMGXiALpzI6wCQ&amp;gl=cn" xr:uid="{00000000-0004-0000-0C00-00003D010000}"/>
    <hyperlink ref="A213" r:id="rId319" display="https://www.google.com.hk/finance?q=SHA%3A600887&amp;client=fss&amp;ei=K7K5V-H6IMGXiALpzI6wCQ&amp;gl=cn" xr:uid="{00000000-0004-0000-0C00-00003E010000}"/>
    <hyperlink ref="B213" r:id="rId320" display="https://www.google.com.hk/finance?q=SHA%3A600887&amp;client=fss&amp;ei=K7K5V-H6IMGXiALpzI6wCQ&amp;gl=cn" xr:uid="{00000000-0004-0000-0C00-00003F010000}"/>
    <hyperlink ref="A214" r:id="rId321" display="https://www.google.com.hk/finance?q=SHE%3A002039&amp;client=fss&amp;ei=K7K5V-H6IMGXiALpzI6wCQ&amp;gl=cn" xr:uid="{00000000-0004-0000-0C00-000040010000}"/>
    <hyperlink ref="B214" r:id="rId322" display="https://www.google.com.hk/finance?q=SHE%3A002039&amp;client=fss&amp;ei=K7K5V-H6IMGXiALpzI6wCQ&amp;gl=cn" xr:uid="{00000000-0004-0000-0C00-000041010000}"/>
    <hyperlink ref="A215" r:id="rId323" display="https://www.google.com.hk/finance?q=SHE%3A002206&amp;client=fss&amp;ei=K7K5V-H6IMGXiALpzI6wCQ&amp;gl=cn" xr:uid="{00000000-0004-0000-0C00-000042010000}"/>
    <hyperlink ref="B215" r:id="rId324" display="https://www.google.com.hk/finance?q=SHE%3A002206&amp;client=fss&amp;ei=K7K5V-H6IMGXiALpzI6wCQ&amp;gl=cn" xr:uid="{00000000-0004-0000-0C00-000043010000}"/>
    <hyperlink ref="A216" r:id="rId325" display="https://www.google.com.hk/finance?q=SHE%3A002561&amp;client=fss&amp;ei=K7K5V-H6IMGXiALpzI6wCQ&amp;gl=cn" xr:uid="{00000000-0004-0000-0C00-000044010000}"/>
    <hyperlink ref="B216" r:id="rId326" display="https://www.google.com.hk/finance?q=SHE%3A002561&amp;client=fss&amp;ei=K7K5V-H6IMGXiALpzI6wCQ&amp;gl=cn" xr:uid="{00000000-0004-0000-0C00-000045010000}"/>
    <hyperlink ref="A217" r:id="rId327" display="https://www.google.com.hk/finance?q=SHA%3A600369&amp;client=fss&amp;ei=K7K5V-H6IMGXiALpzI6wCQ&amp;gl=cn" xr:uid="{00000000-0004-0000-0C00-000046010000}"/>
    <hyperlink ref="B217" r:id="rId328" display="https://www.google.com.hk/finance?q=SHA%3A600369&amp;client=fss&amp;ei=K7K5V-H6IMGXiALpzI6wCQ&amp;gl=cn" xr:uid="{00000000-0004-0000-0C00-000047010000}"/>
    <hyperlink ref="A218" r:id="rId329" display="https://www.google.com.hk/finance?q=SHA%3A600563&amp;client=fss&amp;ei=K7K5V-H6IMGXiALpzI6wCQ&amp;gl=cn" xr:uid="{00000000-0004-0000-0C00-000048010000}"/>
    <hyperlink ref="B218" r:id="rId330" display="https://www.google.com.hk/finance?q=SHA%3A600563&amp;client=fss&amp;ei=K7K5V-H6IMGXiALpzI6wCQ&amp;gl=cn" xr:uid="{00000000-0004-0000-0C00-000049010000}"/>
    <hyperlink ref="A219" r:id="rId331" display="https://www.google.com.hk/finance?q=SHE%3A002440&amp;client=fss&amp;ei=K7K5V-H6IMGXiALpzI6wCQ&amp;gl=cn" xr:uid="{00000000-0004-0000-0C00-00004A010000}"/>
    <hyperlink ref="B219" r:id="rId332" display="https://www.google.com.hk/finance?q=SHE%3A002440&amp;client=fss&amp;ei=K7K5V-H6IMGXiALpzI6wCQ&amp;gl=cn" xr:uid="{00000000-0004-0000-0C00-00004B010000}"/>
    <hyperlink ref="A220" r:id="rId333" display="https://www.google.com.hk/finance?q=SHE%3A000690&amp;client=fss&amp;ei=K7K5V-H6IMGXiALpzI6wCQ&amp;gl=cn" xr:uid="{00000000-0004-0000-0C00-00004C010000}"/>
    <hyperlink ref="B220" r:id="rId334" display="https://www.google.com.hk/finance?q=SHE%3A000690&amp;client=fss&amp;ei=K7K5V-H6IMGXiALpzI6wCQ&amp;gl=cn" xr:uid="{00000000-0004-0000-0C00-00004D010000}"/>
    <hyperlink ref="A221" r:id="rId335" display="https://www.google.com.hk/finance?q=SHA%3A600566&amp;client=fss&amp;ei=K7K5V-H6IMGXiALpzI6wCQ&amp;gl=cn" xr:uid="{00000000-0004-0000-0C00-00004E010000}"/>
    <hyperlink ref="B221" r:id="rId336" display="https://www.google.com.hk/finance?q=SHA%3A600566&amp;client=fss&amp;ei=K7K5V-H6IMGXiALpzI6wCQ&amp;gl=cn" xr:uid="{00000000-0004-0000-0C00-00004F010000}"/>
    <hyperlink ref="A222" r:id="rId337" display="https://www.google.com.hk/finance?q=SHA%3A601688&amp;client=fss&amp;ei=K7K5V-H6IMGXiALpzI6wCQ&amp;gl=cn" xr:uid="{00000000-0004-0000-0C00-000050010000}"/>
    <hyperlink ref="B222" r:id="rId338" display="https://www.google.com.hk/finance?q=SHA%3A601688&amp;client=fss&amp;ei=K7K5V-H6IMGXiALpzI6wCQ&amp;gl=cn" xr:uid="{00000000-0004-0000-0C00-000051010000}"/>
    <hyperlink ref="A223" r:id="rId339" display="https://www.google.com.hk/finance?q=SHA%3A601678&amp;client=fss&amp;ei=K7K5V-H6IMGXiALpzI6wCQ&amp;gl=cn" xr:uid="{00000000-0004-0000-0C00-000052010000}"/>
    <hyperlink ref="B223" r:id="rId340" display="https://www.google.com.hk/finance?q=SHA%3A601678&amp;client=fss&amp;ei=K7K5V-H6IMGXiALpzI6wCQ&amp;gl=cn" xr:uid="{00000000-0004-0000-0C00-00005301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53"/>
  <sheetViews>
    <sheetView topLeftCell="A16" workbookViewId="0">
      <selection activeCell="A54" sqref="A54"/>
    </sheetView>
  </sheetViews>
  <sheetFormatPr defaultRowHeight="15.6" x14ac:dyDescent="0.25"/>
  <cols>
    <col min="1" max="1" width="11.09765625" customWidth="1"/>
    <col min="2" max="2" width="18.8984375" customWidth="1"/>
  </cols>
  <sheetData>
    <row r="1" spans="1:5" x14ac:dyDescent="0.25">
      <c r="A1" s="51" t="s">
        <v>1010</v>
      </c>
      <c r="B1" s="51" t="s">
        <v>1011</v>
      </c>
      <c r="C1" s="51" t="s">
        <v>124</v>
      </c>
      <c r="D1" s="51"/>
      <c r="E1" s="51"/>
    </row>
    <row r="2" spans="1:5" x14ac:dyDescent="0.25">
      <c r="A2" s="100">
        <v>42736</v>
      </c>
      <c r="B2" s="51" t="s">
        <v>1038</v>
      </c>
      <c r="C2" s="51">
        <v>20000</v>
      </c>
      <c r="D2" s="51"/>
      <c r="E2" s="51"/>
    </row>
    <row r="3" spans="1:5" x14ac:dyDescent="0.25">
      <c r="A3" s="100">
        <v>42767</v>
      </c>
      <c r="B3" s="51" t="s">
        <v>1029</v>
      </c>
      <c r="C3" s="51">
        <v>10000</v>
      </c>
      <c r="D3" s="51"/>
      <c r="E3" s="51"/>
    </row>
    <row r="4" spans="1:5" x14ac:dyDescent="0.25">
      <c r="A4" s="100">
        <v>42775</v>
      </c>
      <c r="B4" s="51" t="s">
        <v>1030</v>
      </c>
      <c r="C4" s="51">
        <v>-10000</v>
      </c>
      <c r="D4" s="51"/>
      <c r="E4" s="51"/>
    </row>
    <row r="5" spans="1:5" x14ac:dyDescent="0.25">
      <c r="A5" s="100">
        <v>42781</v>
      </c>
      <c r="B5" s="51" t="s">
        <v>1031</v>
      </c>
      <c r="C5" s="51">
        <v>-57500</v>
      </c>
      <c r="D5" s="51"/>
      <c r="E5" s="51"/>
    </row>
    <row r="6" spans="1:5" x14ac:dyDescent="0.25">
      <c r="A6" s="100">
        <v>42800</v>
      </c>
      <c r="B6" s="51" t="s">
        <v>1012</v>
      </c>
      <c r="C6" s="51">
        <v>350000</v>
      </c>
      <c r="D6" s="51"/>
      <c r="E6" s="51"/>
    </row>
    <row r="7" spans="1:5" x14ac:dyDescent="0.25">
      <c r="A7" s="100">
        <v>42806</v>
      </c>
      <c r="B7" s="51" t="s">
        <v>1013</v>
      </c>
      <c r="C7" s="51">
        <f>-18100*6.8</f>
        <v>-123080</v>
      </c>
      <c r="D7" s="51" t="s">
        <v>1014</v>
      </c>
      <c r="E7" s="51"/>
    </row>
    <row r="8" spans="1:5" x14ac:dyDescent="0.25">
      <c r="A8" s="100">
        <v>42809</v>
      </c>
      <c r="B8" s="51" t="s">
        <v>1032</v>
      </c>
      <c r="C8" s="51">
        <v>3000000</v>
      </c>
      <c r="D8" s="51"/>
      <c r="E8" s="51"/>
    </row>
    <row r="9" spans="1:5" x14ac:dyDescent="0.25">
      <c r="A9" s="100">
        <v>42832</v>
      </c>
      <c r="B9" s="51" t="s">
        <v>1033</v>
      </c>
      <c r="C9" s="51">
        <v>1020000</v>
      </c>
      <c r="D9" s="51"/>
      <c r="E9" s="51"/>
    </row>
    <row r="10" spans="1:5" x14ac:dyDescent="0.25">
      <c r="A10" s="100">
        <v>42844</v>
      </c>
      <c r="B10" s="51" t="s">
        <v>1031</v>
      </c>
      <c r="C10" s="51">
        <v>-38900</v>
      </c>
      <c r="D10" s="51"/>
      <c r="E10" s="51"/>
    </row>
    <row r="11" spans="1:5" x14ac:dyDescent="0.25">
      <c r="A11" s="100">
        <v>42850</v>
      </c>
      <c r="B11" s="51" t="s">
        <v>1034</v>
      </c>
      <c r="C11" s="51">
        <v>29000</v>
      </c>
      <c r="D11" s="51"/>
      <c r="E11" s="51"/>
    </row>
    <row r="12" spans="1:5" x14ac:dyDescent="0.25">
      <c r="A12" s="100">
        <v>42863</v>
      </c>
      <c r="B12" s="51" t="s">
        <v>1035</v>
      </c>
      <c r="C12" s="51">
        <v>160000</v>
      </c>
      <c r="D12" s="51"/>
      <c r="E12" s="51"/>
    </row>
    <row r="13" spans="1:5" x14ac:dyDescent="0.25">
      <c r="A13" s="100">
        <v>42867</v>
      </c>
      <c r="B13" s="51" t="s">
        <v>1031</v>
      </c>
      <c r="C13" s="51">
        <v>2000</v>
      </c>
      <c r="D13" s="51"/>
      <c r="E13" s="51"/>
    </row>
    <row r="14" spans="1:5" x14ac:dyDescent="0.25">
      <c r="A14" s="100">
        <v>42880</v>
      </c>
      <c r="B14" s="51" t="s">
        <v>1015</v>
      </c>
      <c r="C14" s="51">
        <v>-300000</v>
      </c>
      <c r="D14" s="51"/>
      <c r="E14" s="51"/>
    </row>
    <row r="15" spans="1:5" x14ac:dyDescent="0.25">
      <c r="A15" s="100">
        <v>42886</v>
      </c>
      <c r="B15" s="51" t="s">
        <v>1036</v>
      </c>
      <c r="C15" s="51">
        <v>270000</v>
      </c>
      <c r="D15" s="51"/>
      <c r="E15" s="51"/>
    </row>
    <row r="16" spans="1:5" x14ac:dyDescent="0.25">
      <c r="A16" s="100">
        <v>42893</v>
      </c>
      <c r="B16" s="51" t="s">
        <v>1037</v>
      </c>
      <c r="C16" s="51">
        <v>55000</v>
      </c>
      <c r="D16" s="51"/>
      <c r="E16" s="51"/>
    </row>
    <row r="17" spans="1:5" x14ac:dyDescent="0.25">
      <c r="A17" s="100">
        <v>42949</v>
      </c>
      <c r="B17" s="51" t="s">
        <v>1029</v>
      </c>
      <c r="C17" s="51">
        <v>60000</v>
      </c>
      <c r="D17" s="51"/>
      <c r="E17" s="51"/>
    </row>
    <row r="18" spans="1:5" x14ac:dyDescent="0.25">
      <c r="A18" s="100">
        <v>42952</v>
      </c>
      <c r="B18" s="51" t="s">
        <v>1016</v>
      </c>
      <c r="C18" s="51">
        <v>50000</v>
      </c>
      <c r="D18" s="51"/>
      <c r="E18" s="51"/>
    </row>
    <row r="19" spans="1:5" x14ac:dyDescent="0.25">
      <c r="A19" s="100">
        <v>42967</v>
      </c>
      <c r="B19" s="51" t="s">
        <v>1017</v>
      </c>
      <c r="C19" s="51">
        <v>-150000</v>
      </c>
      <c r="D19" s="51"/>
      <c r="E19" s="51"/>
    </row>
    <row r="20" spans="1:5" x14ac:dyDescent="0.25">
      <c r="A20" s="100">
        <v>42986</v>
      </c>
      <c r="B20" s="51" t="s">
        <v>1018</v>
      </c>
      <c r="C20" s="51">
        <v>100000</v>
      </c>
    </row>
    <row r="21" spans="1:5" x14ac:dyDescent="0.25">
      <c r="A21" s="100">
        <v>42996</v>
      </c>
      <c r="B21" s="51" t="s">
        <v>1019</v>
      </c>
      <c r="C21" s="51">
        <v>20000</v>
      </c>
    </row>
    <row r="22" spans="1:5" x14ac:dyDescent="0.25">
      <c r="A22" s="100">
        <v>42998</v>
      </c>
      <c r="B22" s="51" t="s">
        <v>1020</v>
      </c>
      <c r="C22" s="51">
        <v>345000</v>
      </c>
    </row>
    <row r="23" spans="1:5" x14ac:dyDescent="0.25">
      <c r="A23" s="4">
        <v>42983</v>
      </c>
      <c r="B23" s="51" t="s">
        <v>1029</v>
      </c>
      <c r="C23" s="51">
        <v>10000</v>
      </c>
    </row>
    <row r="24" spans="1:5" x14ac:dyDescent="0.25">
      <c r="A24" s="4">
        <v>43018</v>
      </c>
      <c r="B24" s="121" t="s">
        <v>1053</v>
      </c>
      <c r="C24" s="51">
        <v>500000</v>
      </c>
    </row>
    <row r="25" spans="1:5" x14ac:dyDescent="0.25">
      <c r="A25" s="4">
        <v>43020</v>
      </c>
      <c r="B25" s="121" t="s">
        <v>1057</v>
      </c>
      <c r="C25" s="51">
        <v>250000</v>
      </c>
    </row>
    <row r="26" spans="1:5" x14ac:dyDescent="0.25">
      <c r="A26" s="4">
        <v>43020</v>
      </c>
      <c r="B26" s="51" t="s">
        <v>1029</v>
      </c>
      <c r="C26" s="51">
        <v>10000</v>
      </c>
    </row>
    <row r="27" spans="1:5" x14ac:dyDescent="0.25">
      <c r="A27" s="4">
        <v>43030</v>
      </c>
      <c r="B27" s="123" t="s">
        <v>1058</v>
      </c>
      <c r="C27" s="51">
        <v>100000</v>
      </c>
    </row>
    <row r="28" spans="1:5" x14ac:dyDescent="0.25">
      <c r="A28" s="4">
        <v>43044</v>
      </c>
      <c r="B28" s="74" t="s">
        <v>1060</v>
      </c>
      <c r="C28" s="51">
        <v>50000</v>
      </c>
    </row>
    <row r="29" spans="1:5" x14ac:dyDescent="0.25">
      <c r="A29" s="4">
        <v>43075</v>
      </c>
      <c r="B29" s="74" t="s">
        <v>1053</v>
      </c>
      <c r="C29" s="51">
        <v>50000</v>
      </c>
    </row>
    <row r="30" spans="1:5" x14ac:dyDescent="0.25">
      <c r="A30" s="4">
        <v>43105</v>
      </c>
      <c r="B30" s="74" t="s">
        <v>1061</v>
      </c>
      <c r="C30" s="51">
        <v>-130000</v>
      </c>
    </row>
    <row r="31" spans="1:5" x14ac:dyDescent="0.25">
      <c r="A31" s="4">
        <v>43139</v>
      </c>
      <c r="B31" s="74" t="s">
        <v>1053</v>
      </c>
      <c r="C31" s="51">
        <v>50000</v>
      </c>
    </row>
    <row r="32" spans="1:5" x14ac:dyDescent="0.25">
      <c r="A32" s="4">
        <v>43164</v>
      </c>
      <c r="B32" s="74" t="s">
        <v>1062</v>
      </c>
      <c r="C32" s="51">
        <v>150000</v>
      </c>
    </row>
    <row r="33" spans="1:3" x14ac:dyDescent="0.25">
      <c r="A33" s="4">
        <v>43169</v>
      </c>
      <c r="B33" s="74" t="s">
        <v>1064</v>
      </c>
      <c r="C33" s="51">
        <v>2500000</v>
      </c>
    </row>
    <row r="34" spans="1:3" x14ac:dyDescent="0.25">
      <c r="A34" s="4">
        <v>43173</v>
      </c>
      <c r="B34" s="74" t="s">
        <v>1064</v>
      </c>
      <c r="C34" s="51">
        <v>100000</v>
      </c>
    </row>
    <row r="35" spans="1:3" x14ac:dyDescent="0.25">
      <c r="A35" s="4">
        <v>43173</v>
      </c>
      <c r="B35" s="74" t="s">
        <v>1064</v>
      </c>
      <c r="C35" s="51">
        <v>50000</v>
      </c>
    </row>
    <row r="36" spans="1:3" x14ac:dyDescent="0.25">
      <c r="A36" s="4">
        <v>43173</v>
      </c>
      <c r="B36" s="74" t="s">
        <v>1072</v>
      </c>
      <c r="C36" s="51">
        <v>50000</v>
      </c>
    </row>
    <row r="37" spans="1:3" x14ac:dyDescent="0.25">
      <c r="A37" s="4">
        <v>43195</v>
      </c>
      <c r="B37" s="74" t="s">
        <v>1068</v>
      </c>
      <c r="C37" s="51">
        <v>1250000</v>
      </c>
    </row>
    <row r="38" spans="1:3" x14ac:dyDescent="0.25">
      <c r="A38" s="4">
        <v>43200</v>
      </c>
      <c r="B38" s="74" t="s">
        <v>1069</v>
      </c>
      <c r="C38" s="51">
        <v>-115000</v>
      </c>
    </row>
    <row r="39" spans="1:3" x14ac:dyDescent="0.25">
      <c r="A39" s="4">
        <v>43227</v>
      </c>
      <c r="B39" s="74" t="s">
        <v>1070</v>
      </c>
      <c r="C39" s="51">
        <v>150000</v>
      </c>
    </row>
    <row r="40" spans="1:3" x14ac:dyDescent="0.25">
      <c r="A40" s="4">
        <v>43258</v>
      </c>
      <c r="B40" s="74" t="s">
        <v>1053</v>
      </c>
      <c r="C40" s="51">
        <v>100000</v>
      </c>
    </row>
    <row r="41" spans="1:3" x14ac:dyDescent="0.25">
      <c r="A41" s="4">
        <v>43288</v>
      </c>
      <c r="B41" s="74" t="s">
        <v>1071</v>
      </c>
      <c r="C41" s="51">
        <v>140000</v>
      </c>
    </row>
    <row r="42" spans="1:3" x14ac:dyDescent="0.25">
      <c r="A42" s="4">
        <v>43288</v>
      </c>
      <c r="B42" s="74" t="s">
        <v>1073</v>
      </c>
      <c r="C42" s="51">
        <v>40000</v>
      </c>
    </row>
    <row r="43" spans="1:3" x14ac:dyDescent="0.25">
      <c r="A43" s="4">
        <v>43319</v>
      </c>
      <c r="B43" s="74" t="s">
        <v>1075</v>
      </c>
      <c r="C43" s="51">
        <v>60000</v>
      </c>
    </row>
    <row r="44" spans="1:3" x14ac:dyDescent="0.25">
      <c r="A44" s="4">
        <v>43350</v>
      </c>
      <c r="B44" s="74" t="s">
        <v>1076</v>
      </c>
      <c r="C44" s="51">
        <v>10000</v>
      </c>
    </row>
    <row r="45" spans="1:3" x14ac:dyDescent="0.25">
      <c r="A45" s="4">
        <v>43380</v>
      </c>
      <c r="B45" s="74" t="s">
        <v>1080</v>
      </c>
      <c r="C45" s="51">
        <v>1160000</v>
      </c>
    </row>
    <row r="46" spans="1:3" x14ac:dyDescent="0.25">
      <c r="A46" s="4">
        <v>43414</v>
      </c>
      <c r="B46" s="74" t="s">
        <v>1081</v>
      </c>
      <c r="C46" s="51">
        <v>120000</v>
      </c>
    </row>
    <row r="47" spans="1:3" x14ac:dyDescent="0.25">
      <c r="A47" s="4">
        <v>43439</v>
      </c>
      <c r="B47" s="74" t="s">
        <v>1081</v>
      </c>
      <c r="C47" s="51">
        <v>100000</v>
      </c>
    </row>
    <row r="48" spans="1:3" x14ac:dyDescent="0.25">
      <c r="A48" s="4">
        <v>43470</v>
      </c>
      <c r="B48" s="74" t="s">
        <v>1081</v>
      </c>
      <c r="C48" s="51">
        <v>140000</v>
      </c>
    </row>
    <row r="49" spans="1:3" x14ac:dyDescent="0.25">
      <c r="A49" s="4">
        <v>43501</v>
      </c>
      <c r="B49" s="74" t="s">
        <v>1081</v>
      </c>
      <c r="C49" s="51">
        <v>140000</v>
      </c>
    </row>
    <row r="50" spans="1:3" x14ac:dyDescent="0.25">
      <c r="A50" s="4">
        <v>43529</v>
      </c>
      <c r="B50" s="74" t="s">
        <v>1081</v>
      </c>
      <c r="C50" s="51">
        <v>2100000</v>
      </c>
    </row>
    <row r="51" spans="1:3" x14ac:dyDescent="0.25">
      <c r="A51" s="4">
        <v>43560</v>
      </c>
      <c r="B51" s="74" t="s">
        <v>1081</v>
      </c>
      <c r="C51" s="51">
        <v>1400000</v>
      </c>
    </row>
    <row r="52" spans="1:3" x14ac:dyDescent="0.25">
      <c r="A52" s="4">
        <v>43560</v>
      </c>
      <c r="B52" s="74" t="s">
        <v>1069</v>
      </c>
      <c r="C52" s="51">
        <v>-120000</v>
      </c>
    </row>
    <row r="53" spans="1:3" x14ac:dyDescent="0.25">
      <c r="A53" s="4">
        <v>43567</v>
      </c>
      <c r="B53" s="74" t="s">
        <v>1093</v>
      </c>
      <c r="C53" s="51">
        <v>-40000</v>
      </c>
    </row>
  </sheetData>
  <customSheetViews>
    <customSheetView guid="{1E41C6D1-1FF2-4EDC-93A7-39FD0856DDAE}">
      <selection activeCell="C23" sqref="C2:C23"/>
      <pageMargins left="0.7" right="0.7" top="0.75" bottom="0.75" header="0.3" footer="0.3"/>
    </customSheetView>
    <customSheetView guid="{2C754312-9D31-43A1-8D1D-F4080D321E7F}">
      <selection activeCell="D31" sqref="D3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D52"/>
  <sheetViews>
    <sheetView topLeftCell="A13" workbookViewId="0">
      <selection activeCell="B50" sqref="B50"/>
    </sheetView>
  </sheetViews>
  <sheetFormatPr defaultRowHeight="15.6" x14ac:dyDescent="0.25"/>
  <cols>
    <col min="1" max="1" width="12.59765625" customWidth="1"/>
    <col min="2" max="2" width="10.19921875" customWidth="1"/>
  </cols>
  <sheetData>
    <row r="1" spans="1:4" x14ac:dyDescent="0.25">
      <c r="A1" s="101" t="s">
        <v>1021</v>
      </c>
      <c r="B1" s="101" t="s">
        <v>1022</v>
      </c>
      <c r="C1" s="101" t="s">
        <v>1023</v>
      </c>
      <c r="D1" s="80"/>
    </row>
    <row r="2" spans="1:4" x14ac:dyDescent="0.25">
      <c r="A2" s="125">
        <v>42374</v>
      </c>
      <c r="B2" s="86">
        <v>131927</v>
      </c>
      <c r="C2" s="102" t="s">
        <v>1024</v>
      </c>
      <c r="D2" s="80"/>
    </row>
    <row r="3" spans="1:4" x14ac:dyDescent="0.25">
      <c r="A3" s="125">
        <v>42377</v>
      </c>
      <c r="B3" s="86">
        <v>160000</v>
      </c>
      <c r="C3" s="102" t="s">
        <v>1025</v>
      </c>
      <c r="D3" s="80"/>
    </row>
    <row r="4" spans="1:4" x14ac:dyDescent="0.25">
      <c r="A4" s="125">
        <v>42402</v>
      </c>
      <c r="B4" s="86">
        <v>89037.54</v>
      </c>
      <c r="C4" s="102" t="s">
        <v>1024</v>
      </c>
      <c r="D4" s="80"/>
    </row>
    <row r="5" spans="1:4" x14ac:dyDescent="0.25">
      <c r="A5" s="125">
        <v>42432</v>
      </c>
      <c r="B5" s="86">
        <v>75639.89</v>
      </c>
      <c r="C5" s="102" t="s">
        <v>1024</v>
      </c>
      <c r="D5" s="80"/>
    </row>
    <row r="6" spans="1:4" x14ac:dyDescent="0.25">
      <c r="A6" s="125">
        <v>42466</v>
      </c>
      <c r="B6" s="86">
        <v>471363.1</v>
      </c>
      <c r="C6" s="102" t="s">
        <v>1026</v>
      </c>
      <c r="D6" s="80"/>
    </row>
    <row r="7" spans="1:4" x14ac:dyDescent="0.25">
      <c r="A7" s="125">
        <v>42494</v>
      </c>
      <c r="B7" s="86">
        <v>98529.279999999999</v>
      </c>
      <c r="C7" s="102" t="s">
        <v>1024</v>
      </c>
      <c r="D7" s="80"/>
    </row>
    <row r="8" spans="1:4" x14ac:dyDescent="0.25">
      <c r="A8" s="125">
        <v>42523</v>
      </c>
      <c r="B8" s="86">
        <v>70797.67</v>
      </c>
      <c r="C8" s="102" t="s">
        <v>1024</v>
      </c>
      <c r="D8" s="80"/>
    </row>
    <row r="9" spans="1:4" x14ac:dyDescent="0.25">
      <c r="A9" s="125">
        <v>42556</v>
      </c>
      <c r="B9" s="86">
        <v>71701.83</v>
      </c>
      <c r="C9" s="102" t="s">
        <v>1024</v>
      </c>
      <c r="D9" s="80"/>
    </row>
    <row r="10" spans="1:4" x14ac:dyDescent="0.25">
      <c r="A10" s="125">
        <v>42585</v>
      </c>
      <c r="B10" s="86">
        <v>60089.05</v>
      </c>
      <c r="C10" s="102" t="s">
        <v>1024</v>
      </c>
      <c r="D10" s="80"/>
    </row>
    <row r="11" spans="1:4" x14ac:dyDescent="0.25">
      <c r="A11" s="125">
        <v>42615</v>
      </c>
      <c r="B11" s="86">
        <v>63892.58</v>
      </c>
      <c r="C11" s="102" t="s">
        <v>1024</v>
      </c>
      <c r="D11" s="80"/>
    </row>
    <row r="12" spans="1:4" x14ac:dyDescent="0.25">
      <c r="A12" s="125">
        <v>42643</v>
      </c>
      <c r="B12" s="86">
        <v>281861.28000000003</v>
      </c>
      <c r="C12" s="102" t="s">
        <v>1026</v>
      </c>
      <c r="D12" s="80"/>
    </row>
    <row r="13" spans="1:4" x14ac:dyDescent="0.25">
      <c r="A13" s="125">
        <v>42677</v>
      </c>
      <c r="B13" s="86">
        <v>54804.73</v>
      </c>
      <c r="C13" s="102" t="s">
        <v>1024</v>
      </c>
      <c r="D13" s="80"/>
    </row>
    <row r="14" spans="1:4" x14ac:dyDescent="0.25">
      <c r="A14" s="125">
        <v>42709</v>
      </c>
      <c r="B14" s="86">
        <v>42834.75</v>
      </c>
      <c r="C14" s="102" t="s">
        <v>1024</v>
      </c>
      <c r="D14" s="80"/>
    </row>
    <row r="15" spans="1:4" x14ac:dyDescent="0.25">
      <c r="A15" s="126">
        <v>42740</v>
      </c>
      <c r="B15" s="86">
        <v>85210.77</v>
      </c>
      <c r="C15" s="102" t="s">
        <v>1024</v>
      </c>
      <c r="D15" s="80"/>
    </row>
    <row r="16" spans="1:4" x14ac:dyDescent="0.25">
      <c r="A16" s="126">
        <v>42760</v>
      </c>
      <c r="B16" s="86">
        <v>57417</v>
      </c>
      <c r="C16" s="102" t="s">
        <v>1024</v>
      </c>
    </row>
    <row r="17" spans="1:3" x14ac:dyDescent="0.25">
      <c r="A17" s="126">
        <v>42799</v>
      </c>
      <c r="B17" s="86">
        <v>354436.46</v>
      </c>
      <c r="C17" s="102" t="s">
        <v>1026</v>
      </c>
    </row>
    <row r="18" spans="1:3" x14ac:dyDescent="0.25">
      <c r="A18" s="126">
        <v>42809</v>
      </c>
      <c r="B18" s="128">
        <v>3016750</v>
      </c>
      <c r="C18" s="102" t="s">
        <v>1027</v>
      </c>
    </row>
    <row r="19" spans="1:3" x14ac:dyDescent="0.25">
      <c r="A19" s="126">
        <v>42831</v>
      </c>
      <c r="B19" s="86">
        <v>1057099.3700000001</v>
      </c>
      <c r="C19" s="102" t="s">
        <v>1066</v>
      </c>
    </row>
    <row r="20" spans="1:3" x14ac:dyDescent="0.25">
      <c r="A20" s="126">
        <v>42860</v>
      </c>
      <c r="B20" s="86">
        <v>176559.04</v>
      </c>
      <c r="C20" s="102" t="s">
        <v>1024</v>
      </c>
    </row>
    <row r="21" spans="1:3" x14ac:dyDescent="0.25">
      <c r="A21" s="126">
        <v>42891</v>
      </c>
      <c r="B21" s="86">
        <v>79158.679999999993</v>
      </c>
      <c r="C21" s="102" t="s">
        <v>1024</v>
      </c>
    </row>
    <row r="22" spans="1:3" x14ac:dyDescent="0.25">
      <c r="A22" s="126">
        <v>42921</v>
      </c>
      <c r="B22" s="86">
        <v>108608.08</v>
      </c>
      <c r="C22" s="102" t="s">
        <v>1024</v>
      </c>
    </row>
    <row r="23" spans="1:3" x14ac:dyDescent="0.25">
      <c r="A23" s="126">
        <v>42952</v>
      </c>
      <c r="B23" s="86">
        <v>79993.5</v>
      </c>
      <c r="C23" s="102" t="s">
        <v>1024</v>
      </c>
    </row>
    <row r="24" spans="1:3" x14ac:dyDescent="0.25">
      <c r="A24" s="126">
        <v>42998</v>
      </c>
      <c r="B24" s="86">
        <v>345000</v>
      </c>
      <c r="C24" s="102" t="s">
        <v>1027</v>
      </c>
    </row>
    <row r="25" spans="1:3" x14ac:dyDescent="0.25">
      <c r="A25" s="126">
        <v>42979</v>
      </c>
      <c r="B25" s="86">
        <f>930000*0.6</f>
        <v>558000</v>
      </c>
      <c r="C25" s="102" t="s">
        <v>1028</v>
      </c>
    </row>
    <row r="26" spans="1:3" x14ac:dyDescent="0.25">
      <c r="A26" s="126">
        <v>43009</v>
      </c>
      <c r="B26" s="86">
        <v>632972</v>
      </c>
      <c r="C26" s="122" t="s">
        <v>1066</v>
      </c>
    </row>
    <row r="27" spans="1:3" x14ac:dyDescent="0.25">
      <c r="A27" s="126">
        <v>43019</v>
      </c>
      <c r="B27" s="86">
        <v>240000</v>
      </c>
      <c r="C27" s="122" t="s">
        <v>1056</v>
      </c>
    </row>
    <row r="28" spans="1:3" x14ac:dyDescent="0.25">
      <c r="A28" s="126">
        <v>43042</v>
      </c>
      <c r="B28" s="86">
        <v>65554</v>
      </c>
      <c r="C28" s="102" t="s">
        <v>1059</v>
      </c>
    </row>
    <row r="29" spans="1:3" x14ac:dyDescent="0.25">
      <c r="A29" s="126">
        <v>43072</v>
      </c>
      <c r="B29" s="86">
        <v>66331</v>
      </c>
      <c r="C29" s="102" t="s">
        <v>1052</v>
      </c>
    </row>
    <row r="30" spans="1:3" x14ac:dyDescent="0.25">
      <c r="A30" s="127">
        <v>43105</v>
      </c>
      <c r="B30" s="86">
        <v>95899</v>
      </c>
      <c r="C30" s="102" t="s">
        <v>1024</v>
      </c>
    </row>
    <row r="31" spans="1:3" x14ac:dyDescent="0.25">
      <c r="A31" s="127">
        <v>43136</v>
      </c>
      <c r="B31" s="86">
        <v>68966</v>
      </c>
      <c r="C31" s="102" t="s">
        <v>1024</v>
      </c>
    </row>
    <row r="32" spans="1:3" x14ac:dyDescent="0.25">
      <c r="A32" s="127">
        <v>43164</v>
      </c>
      <c r="B32" s="86">
        <v>185698</v>
      </c>
      <c r="C32" s="102" t="s">
        <v>1024</v>
      </c>
    </row>
    <row r="33" spans="1:3" x14ac:dyDescent="0.25">
      <c r="A33" s="127">
        <v>43169</v>
      </c>
      <c r="B33" s="86">
        <v>2500000</v>
      </c>
      <c r="C33" s="124" t="s">
        <v>1063</v>
      </c>
    </row>
    <row r="34" spans="1:3" x14ac:dyDescent="0.25">
      <c r="A34" s="127">
        <v>43173</v>
      </c>
      <c r="B34" s="86">
        <v>156788</v>
      </c>
      <c r="C34" s="124" t="s">
        <v>1065</v>
      </c>
    </row>
    <row r="35" spans="1:3" x14ac:dyDescent="0.25">
      <c r="A35" s="127">
        <v>43195</v>
      </c>
      <c r="B35" s="86">
        <v>1325000</v>
      </c>
      <c r="C35" s="124" t="s">
        <v>1067</v>
      </c>
    </row>
    <row r="36" spans="1:3" x14ac:dyDescent="0.25">
      <c r="A36" s="127">
        <v>43225</v>
      </c>
      <c r="B36" s="86">
        <v>170291</v>
      </c>
      <c r="C36" s="124" t="s">
        <v>1074</v>
      </c>
    </row>
    <row r="37" spans="1:3" x14ac:dyDescent="0.25">
      <c r="A37" s="127">
        <v>43256</v>
      </c>
      <c r="B37" s="86">
        <v>114326</v>
      </c>
      <c r="C37" s="124" t="s">
        <v>1074</v>
      </c>
    </row>
    <row r="38" spans="1:3" x14ac:dyDescent="0.25">
      <c r="A38" s="127">
        <v>43286</v>
      </c>
      <c r="B38" s="86">
        <v>203607</v>
      </c>
      <c r="C38" s="124" t="s">
        <v>1074</v>
      </c>
    </row>
    <row r="39" spans="1:3" x14ac:dyDescent="0.25">
      <c r="A39" s="127">
        <v>43317</v>
      </c>
      <c r="B39" s="86">
        <v>161700</v>
      </c>
      <c r="C39" s="124" t="s">
        <v>1074</v>
      </c>
    </row>
    <row r="40" spans="1:3" x14ac:dyDescent="0.25">
      <c r="A40" s="127">
        <v>43348</v>
      </c>
      <c r="B40" s="86">
        <v>128149</v>
      </c>
      <c r="C40" s="124" t="s">
        <v>1052</v>
      </c>
    </row>
    <row r="41" spans="1:3" x14ac:dyDescent="0.25">
      <c r="A41" s="127">
        <v>43378</v>
      </c>
      <c r="B41" s="86">
        <v>912375</v>
      </c>
      <c r="C41" s="124" t="s">
        <v>1077</v>
      </c>
    </row>
    <row r="42" spans="1:3" x14ac:dyDescent="0.25">
      <c r="A42" s="127">
        <v>43378</v>
      </c>
      <c r="B42" s="86">
        <v>298533</v>
      </c>
      <c r="C42" s="124" t="s">
        <v>1078</v>
      </c>
    </row>
    <row r="43" spans="1:3" x14ac:dyDescent="0.25">
      <c r="A43" s="127">
        <v>43409</v>
      </c>
      <c r="B43" s="86">
        <v>183042</v>
      </c>
      <c r="C43" s="124" t="s">
        <v>1079</v>
      </c>
    </row>
    <row r="44" spans="1:3" x14ac:dyDescent="0.25">
      <c r="A44" s="127">
        <v>43439</v>
      </c>
      <c r="B44" s="86">
        <v>144527</v>
      </c>
      <c r="C44" s="124" t="s">
        <v>1052</v>
      </c>
    </row>
    <row r="45" spans="1:3" x14ac:dyDescent="0.25">
      <c r="A45" s="127">
        <v>43459</v>
      </c>
      <c r="B45" s="86">
        <v>38000</v>
      </c>
      <c r="C45" s="124" t="s">
        <v>1083</v>
      </c>
    </row>
    <row r="46" spans="1:3" x14ac:dyDescent="0.25">
      <c r="A46" s="127">
        <v>43470</v>
      </c>
      <c r="B46" s="86">
        <v>210569</v>
      </c>
      <c r="C46" s="124" t="s">
        <v>1084</v>
      </c>
    </row>
    <row r="47" spans="1:3" x14ac:dyDescent="0.25">
      <c r="A47" s="127">
        <v>43501</v>
      </c>
      <c r="B47" s="86">
        <v>191014</v>
      </c>
      <c r="C47" s="124" t="s">
        <v>1052</v>
      </c>
    </row>
    <row r="48" spans="1:3" x14ac:dyDescent="0.25">
      <c r="A48" s="127">
        <v>43529</v>
      </c>
      <c r="B48" s="86">
        <v>2200000</v>
      </c>
      <c r="C48" s="132" t="s">
        <v>1091</v>
      </c>
    </row>
    <row r="49" spans="1:3" x14ac:dyDescent="0.25">
      <c r="A49" s="127">
        <v>43557</v>
      </c>
      <c r="B49" s="86">
        <v>1460000</v>
      </c>
      <c r="C49" s="124" t="s">
        <v>1092</v>
      </c>
    </row>
    <row r="50" spans="1:3" x14ac:dyDescent="0.25">
      <c r="A50" s="127"/>
      <c r="B50" s="86"/>
      <c r="C50" s="124"/>
    </row>
    <row r="51" spans="1:3" x14ac:dyDescent="0.25">
      <c r="A51" s="127"/>
      <c r="B51" s="86"/>
      <c r="C51" s="124"/>
    </row>
    <row r="52" spans="1:3" x14ac:dyDescent="0.25">
      <c r="A52" s="127"/>
      <c r="B52" s="86"/>
      <c r="C52" s="124"/>
    </row>
  </sheetData>
  <customSheetViews>
    <customSheetView guid="{1E41C6D1-1FF2-4EDC-93A7-39FD0856DDAE}">
      <selection activeCell="G16" sqref="G16"/>
      <pageMargins left="0.7" right="0.7" top="0.75" bottom="0.75" header="0.3" footer="0.3"/>
    </customSheetView>
    <customSheetView guid="{2C754312-9D31-43A1-8D1D-F4080D321E7F}">
      <selection activeCell="B17" sqref="B17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B2:H184"/>
  <sheetViews>
    <sheetView topLeftCell="A154" workbookViewId="0">
      <selection activeCell="G190" sqref="G190"/>
    </sheetView>
  </sheetViews>
  <sheetFormatPr defaultRowHeight="15.6" x14ac:dyDescent="0.25"/>
  <cols>
    <col min="2" max="2" width="13" customWidth="1"/>
    <col min="4" max="4" width="12.5" customWidth="1"/>
    <col min="5" max="5" width="13.09765625" customWidth="1"/>
  </cols>
  <sheetData>
    <row r="2" spans="2:8" x14ac:dyDescent="0.25">
      <c r="B2" s="51"/>
      <c r="C2" s="51"/>
      <c r="D2" s="129" t="s">
        <v>1085</v>
      </c>
      <c r="E2" s="129" t="s">
        <v>1086</v>
      </c>
      <c r="F2" s="51" t="s">
        <v>1087</v>
      </c>
      <c r="G2" s="51" t="s">
        <v>1088</v>
      </c>
      <c r="H2" s="51"/>
    </row>
    <row r="3" spans="2:8" x14ac:dyDescent="0.25">
      <c r="B3" s="51"/>
      <c r="C3" s="130">
        <v>38718</v>
      </c>
      <c r="D3" s="129">
        <v>11920</v>
      </c>
      <c r="E3" s="129">
        <v>1469</v>
      </c>
      <c r="F3" s="131">
        <f>E3/D3</f>
        <v>0.12323825503355705</v>
      </c>
      <c r="G3" s="51">
        <f>D3-E3</f>
        <v>10451</v>
      </c>
      <c r="H3" s="51"/>
    </row>
    <row r="4" spans="2:8" x14ac:dyDescent="0.25">
      <c r="B4" s="51"/>
      <c r="C4" s="130">
        <v>38749</v>
      </c>
      <c r="D4" s="129">
        <v>16458.75</v>
      </c>
      <c r="E4" s="129">
        <v>2376.75</v>
      </c>
      <c r="F4" s="131">
        <f t="shared" ref="F4:F79" si="0">E4/D4</f>
        <v>0.14440647072226021</v>
      </c>
      <c r="G4" s="51">
        <f t="shared" ref="G4:G79" si="1">D4-E4</f>
        <v>14082</v>
      </c>
      <c r="H4" s="51"/>
    </row>
    <row r="5" spans="2:8" x14ac:dyDescent="0.25">
      <c r="B5" s="51"/>
      <c r="C5" s="130">
        <v>38777</v>
      </c>
      <c r="D5" s="129">
        <v>17430.21</v>
      </c>
      <c r="E5" s="129">
        <v>2571.04</v>
      </c>
      <c r="F5" s="131">
        <f t="shared" si="0"/>
        <v>0.14750482065333695</v>
      </c>
      <c r="G5" s="51">
        <f t="shared" si="1"/>
        <v>14859.169999999998</v>
      </c>
      <c r="H5" s="51"/>
    </row>
    <row r="6" spans="2:8" x14ac:dyDescent="0.25">
      <c r="B6" s="51"/>
      <c r="C6" s="130">
        <v>38777</v>
      </c>
      <c r="D6" s="129">
        <v>26700</v>
      </c>
      <c r="E6" s="129">
        <v>3880</v>
      </c>
      <c r="F6" s="131">
        <f t="shared" si="0"/>
        <v>0.1453183520599251</v>
      </c>
      <c r="G6" s="51">
        <f t="shared" si="1"/>
        <v>22820</v>
      </c>
      <c r="H6" s="51"/>
    </row>
    <row r="7" spans="2:8" x14ac:dyDescent="0.25">
      <c r="B7" s="51"/>
      <c r="C7" s="130">
        <v>38808</v>
      </c>
      <c r="D7" s="129">
        <v>19500</v>
      </c>
      <c r="E7" s="129">
        <v>2985</v>
      </c>
      <c r="F7" s="131">
        <f t="shared" si="0"/>
        <v>0.15307692307692308</v>
      </c>
      <c r="G7" s="51">
        <f t="shared" si="1"/>
        <v>16515</v>
      </c>
      <c r="H7" s="51"/>
    </row>
    <row r="8" spans="2:8" x14ac:dyDescent="0.25">
      <c r="B8" s="51"/>
      <c r="C8" s="130">
        <v>38838</v>
      </c>
      <c r="D8" s="129">
        <v>17681.07</v>
      </c>
      <c r="E8" s="129">
        <v>2621.21</v>
      </c>
      <c r="F8" s="131">
        <f t="shared" si="0"/>
        <v>0.14824951204876177</v>
      </c>
      <c r="G8" s="51">
        <f t="shared" si="1"/>
        <v>15059.86</v>
      </c>
      <c r="H8" s="51"/>
    </row>
    <row r="9" spans="2:8" x14ac:dyDescent="0.25">
      <c r="B9" s="51"/>
      <c r="C9" s="130">
        <v>38869</v>
      </c>
      <c r="D9" s="129">
        <v>20918.93</v>
      </c>
      <c r="E9" s="129">
        <v>3268.79</v>
      </c>
      <c r="F9" s="131">
        <f t="shared" si="0"/>
        <v>0.15625990430676903</v>
      </c>
      <c r="G9" s="51">
        <f t="shared" si="1"/>
        <v>17650.14</v>
      </c>
      <c r="H9" s="51"/>
    </row>
    <row r="10" spans="2:8" x14ac:dyDescent="0.25">
      <c r="B10" s="51"/>
      <c r="C10" s="130">
        <v>38899</v>
      </c>
      <c r="D10" s="129">
        <v>21224</v>
      </c>
      <c r="E10" s="129">
        <v>3209.8</v>
      </c>
      <c r="F10" s="131">
        <f t="shared" si="0"/>
        <v>0.15123445156426688</v>
      </c>
      <c r="G10" s="51">
        <f t="shared" si="1"/>
        <v>18014.2</v>
      </c>
      <c r="H10" s="51"/>
    </row>
    <row r="11" spans="2:8" x14ac:dyDescent="0.25">
      <c r="B11" s="51"/>
      <c r="C11" s="130">
        <v>38930</v>
      </c>
      <c r="D11" s="129">
        <v>21504</v>
      </c>
      <c r="E11" s="129">
        <v>3265.8</v>
      </c>
      <c r="F11" s="131">
        <f t="shared" si="0"/>
        <v>0.15186941964285716</v>
      </c>
      <c r="G11" s="51">
        <f t="shared" si="1"/>
        <v>18238.2</v>
      </c>
      <c r="H11" s="51"/>
    </row>
    <row r="12" spans="2:8" x14ac:dyDescent="0.25">
      <c r="B12" s="51"/>
      <c r="C12" s="130">
        <v>38961</v>
      </c>
      <c r="D12" s="129">
        <v>43019.4</v>
      </c>
      <c r="E12" s="129">
        <v>8554.85</v>
      </c>
      <c r="F12" s="131">
        <f t="shared" si="0"/>
        <v>0.1988602816403762</v>
      </c>
      <c r="G12" s="51">
        <f t="shared" si="1"/>
        <v>34464.550000000003</v>
      </c>
      <c r="H12" s="51"/>
    </row>
    <row r="13" spans="2:8" x14ac:dyDescent="0.25">
      <c r="B13" s="51"/>
      <c r="C13" s="130">
        <v>38991</v>
      </c>
      <c r="D13" s="129">
        <v>44680</v>
      </c>
      <c r="E13" s="129">
        <v>9039</v>
      </c>
      <c r="F13" s="131">
        <f t="shared" si="0"/>
        <v>0.20230528200537154</v>
      </c>
      <c r="G13" s="51">
        <f t="shared" si="1"/>
        <v>35641</v>
      </c>
      <c r="H13" s="51"/>
    </row>
    <row r="14" spans="2:8" x14ac:dyDescent="0.25">
      <c r="B14" s="51"/>
      <c r="C14" s="130">
        <v>39022</v>
      </c>
      <c r="D14" s="129">
        <v>23760.99</v>
      </c>
      <c r="E14" s="129">
        <v>3740.25</v>
      </c>
      <c r="F14" s="131">
        <f t="shared" si="0"/>
        <v>0.15741137048582571</v>
      </c>
      <c r="G14" s="51">
        <f t="shared" si="1"/>
        <v>20020.740000000002</v>
      </c>
      <c r="H14" s="51"/>
    </row>
    <row r="15" spans="2:8" x14ac:dyDescent="0.25">
      <c r="B15" s="129">
        <f>SUM(D3:D15)</f>
        <v>314216.19999999995</v>
      </c>
      <c r="C15" s="130">
        <v>39052</v>
      </c>
      <c r="D15" s="129">
        <v>29418.85</v>
      </c>
      <c r="E15" s="129">
        <v>5154.71</v>
      </c>
      <c r="F15" s="131">
        <f t="shared" si="0"/>
        <v>0.17521793000066285</v>
      </c>
      <c r="G15" s="51">
        <f t="shared" si="1"/>
        <v>24264.14</v>
      </c>
      <c r="H15" s="51"/>
    </row>
    <row r="16" spans="2:8" x14ac:dyDescent="0.25">
      <c r="B16" s="51"/>
      <c r="C16" s="130">
        <v>39083</v>
      </c>
      <c r="D16" s="129">
        <v>49677.1</v>
      </c>
      <c r="E16" s="129">
        <v>10538.13</v>
      </c>
      <c r="F16" s="131">
        <f t="shared" si="0"/>
        <v>0.2121325520209513</v>
      </c>
      <c r="G16" s="51">
        <f t="shared" si="1"/>
        <v>39138.97</v>
      </c>
      <c r="H16" s="51"/>
    </row>
    <row r="17" spans="2:8" x14ac:dyDescent="0.25">
      <c r="B17" s="51"/>
      <c r="C17" s="130">
        <v>39083</v>
      </c>
      <c r="D17" s="129">
        <v>19723.73</v>
      </c>
      <c r="E17" s="129">
        <v>3944.75</v>
      </c>
      <c r="F17" s="131">
        <f t="shared" si="0"/>
        <v>0.2000002028013971</v>
      </c>
      <c r="G17" s="51">
        <f t="shared" si="1"/>
        <v>15778.98</v>
      </c>
      <c r="H17" s="51" t="s">
        <v>1089</v>
      </c>
    </row>
    <row r="18" spans="2:8" x14ac:dyDescent="0.25">
      <c r="B18" s="51"/>
      <c r="C18" s="130">
        <v>39114</v>
      </c>
      <c r="D18" s="129">
        <v>24600</v>
      </c>
      <c r="E18" s="129">
        <v>3950</v>
      </c>
      <c r="F18" s="131">
        <f t="shared" si="0"/>
        <v>0.16056910569105692</v>
      </c>
      <c r="G18" s="51">
        <f t="shared" si="1"/>
        <v>20650</v>
      </c>
      <c r="H18" s="51"/>
    </row>
    <row r="19" spans="2:8" x14ac:dyDescent="0.25">
      <c r="B19" s="51"/>
      <c r="C19" s="130">
        <v>39142</v>
      </c>
      <c r="D19" s="129">
        <v>26000</v>
      </c>
      <c r="E19" s="129">
        <v>4300</v>
      </c>
      <c r="F19" s="131">
        <f t="shared" si="0"/>
        <v>0.16538461538461538</v>
      </c>
      <c r="G19" s="51">
        <f t="shared" si="1"/>
        <v>21700</v>
      </c>
      <c r="H19" s="51"/>
    </row>
    <row r="20" spans="2:8" x14ac:dyDescent="0.25">
      <c r="B20" s="51"/>
      <c r="C20" s="130">
        <v>39173</v>
      </c>
      <c r="D20" s="129">
        <v>96794.6</v>
      </c>
      <c r="E20" s="129">
        <v>27022.84</v>
      </c>
      <c r="F20" s="131">
        <f t="shared" si="0"/>
        <v>0.27917714417953066</v>
      </c>
      <c r="G20" s="51">
        <f t="shared" si="1"/>
        <v>69771.760000000009</v>
      </c>
      <c r="H20" s="51"/>
    </row>
    <row r="21" spans="2:8" x14ac:dyDescent="0.25">
      <c r="B21" s="51"/>
      <c r="C21" s="130">
        <v>39203</v>
      </c>
      <c r="D21" s="129">
        <v>38000</v>
      </c>
      <c r="E21" s="129">
        <v>7300</v>
      </c>
      <c r="F21" s="131">
        <f t="shared" si="0"/>
        <v>0.19210526315789472</v>
      </c>
      <c r="G21" s="51">
        <f t="shared" si="1"/>
        <v>30700</v>
      </c>
      <c r="H21" s="51"/>
    </row>
    <row r="22" spans="2:8" x14ac:dyDescent="0.25">
      <c r="B22" s="51"/>
      <c r="C22" s="130">
        <v>39234</v>
      </c>
      <c r="D22" s="129">
        <v>126284.53</v>
      </c>
      <c r="E22" s="129">
        <v>39968.04</v>
      </c>
      <c r="F22" s="131">
        <f t="shared" si="0"/>
        <v>0.31649197253218586</v>
      </c>
      <c r="G22" s="51">
        <f t="shared" si="1"/>
        <v>86316.489999999991</v>
      </c>
      <c r="H22" s="51"/>
    </row>
    <row r="23" spans="2:8" x14ac:dyDescent="0.25">
      <c r="B23" s="51"/>
      <c r="C23" s="130">
        <v>39234</v>
      </c>
      <c r="D23" s="129">
        <v>34000</v>
      </c>
      <c r="E23" s="129">
        <v>4975</v>
      </c>
      <c r="F23" s="131">
        <f t="shared" si="0"/>
        <v>0.14632352941176471</v>
      </c>
      <c r="G23" s="51">
        <f t="shared" si="1"/>
        <v>29025</v>
      </c>
      <c r="H23" s="51"/>
    </row>
    <row r="24" spans="2:8" x14ac:dyDescent="0.25">
      <c r="B24" s="51"/>
      <c r="C24" s="130">
        <v>39264</v>
      </c>
      <c r="D24" s="129">
        <v>48600</v>
      </c>
      <c r="E24" s="129">
        <v>10398</v>
      </c>
      <c r="F24" s="131">
        <f t="shared" si="0"/>
        <v>0.21395061728395062</v>
      </c>
      <c r="G24" s="51">
        <f t="shared" si="1"/>
        <v>38202</v>
      </c>
      <c r="H24" s="51"/>
    </row>
    <row r="25" spans="2:8" x14ac:dyDescent="0.25">
      <c r="B25" s="51"/>
      <c r="C25" s="130">
        <v>39295</v>
      </c>
      <c r="D25" s="129">
        <v>48600</v>
      </c>
      <c r="E25" s="129">
        <v>10398</v>
      </c>
      <c r="F25" s="131">
        <f t="shared" si="0"/>
        <v>0.21395061728395062</v>
      </c>
      <c r="G25" s="51">
        <f t="shared" si="1"/>
        <v>38202</v>
      </c>
      <c r="H25" s="51"/>
    </row>
    <row r="26" spans="2:8" x14ac:dyDescent="0.25">
      <c r="B26" s="51"/>
      <c r="C26" s="130">
        <v>39326</v>
      </c>
      <c r="D26" s="129">
        <v>109860.96</v>
      </c>
      <c r="E26" s="129">
        <v>32851.93</v>
      </c>
      <c r="F26" s="131">
        <f t="shared" si="0"/>
        <v>0.29903188539404713</v>
      </c>
      <c r="G26" s="51">
        <f t="shared" si="1"/>
        <v>77009.03</v>
      </c>
      <c r="H26" s="51"/>
    </row>
    <row r="27" spans="2:8" x14ac:dyDescent="0.25">
      <c r="B27" s="51"/>
      <c r="C27" s="130">
        <v>39356</v>
      </c>
      <c r="D27" s="129">
        <v>53000</v>
      </c>
      <c r="E27" s="129">
        <v>11718</v>
      </c>
      <c r="F27" s="131">
        <f t="shared" si="0"/>
        <v>0.22109433962264152</v>
      </c>
      <c r="G27" s="51">
        <f t="shared" si="1"/>
        <v>41282</v>
      </c>
      <c r="H27" s="51"/>
    </row>
    <row r="28" spans="2:8" x14ac:dyDescent="0.25">
      <c r="B28" s="51"/>
      <c r="C28" s="130">
        <v>39387</v>
      </c>
      <c r="D28" s="129">
        <v>53000</v>
      </c>
      <c r="E28" s="129">
        <v>11718</v>
      </c>
      <c r="F28" s="131">
        <f t="shared" si="0"/>
        <v>0.22109433962264152</v>
      </c>
      <c r="G28" s="51">
        <f t="shared" si="1"/>
        <v>41282</v>
      </c>
      <c r="H28" s="51"/>
    </row>
    <row r="29" spans="2:8" x14ac:dyDescent="0.25">
      <c r="B29" s="129">
        <f>SUM(D16:D29)</f>
        <v>793080.91999999993</v>
      </c>
      <c r="C29" s="130">
        <v>39417</v>
      </c>
      <c r="D29" s="129">
        <v>64940</v>
      </c>
      <c r="E29" s="129">
        <v>15412.5</v>
      </c>
      <c r="F29" s="131">
        <f t="shared" si="0"/>
        <v>0.23733446258084387</v>
      </c>
      <c r="G29" s="51">
        <f t="shared" si="1"/>
        <v>49527.5</v>
      </c>
      <c r="H29" s="51"/>
    </row>
    <row r="30" spans="2:8" x14ac:dyDescent="0.25">
      <c r="B30" s="51"/>
      <c r="C30" s="130">
        <v>39448</v>
      </c>
      <c r="D30" s="129">
        <v>56106.21</v>
      </c>
      <c r="E30" s="129">
        <v>12649.86</v>
      </c>
      <c r="F30" s="131">
        <f t="shared" si="0"/>
        <v>0.22546274289423579</v>
      </c>
      <c r="G30" s="51">
        <f t="shared" si="1"/>
        <v>43456.35</v>
      </c>
      <c r="H30" s="51"/>
    </row>
    <row r="31" spans="2:8" x14ac:dyDescent="0.25">
      <c r="B31" s="51"/>
      <c r="C31" s="130">
        <v>39479</v>
      </c>
      <c r="D31" s="129">
        <v>13400</v>
      </c>
      <c r="E31" s="129">
        <v>1767</v>
      </c>
      <c r="F31" s="131">
        <f t="shared" si="0"/>
        <v>0.13186567164179105</v>
      </c>
      <c r="G31" s="51">
        <f t="shared" si="1"/>
        <v>11633</v>
      </c>
      <c r="H31" s="51"/>
    </row>
    <row r="32" spans="2:8" x14ac:dyDescent="0.25">
      <c r="B32" s="51"/>
      <c r="C32" s="130">
        <v>39479</v>
      </c>
      <c r="D32" s="129">
        <v>84860</v>
      </c>
      <c r="E32" s="129">
        <v>16597</v>
      </c>
      <c r="F32" s="131">
        <f t="shared" si="0"/>
        <v>0.19558095687013904</v>
      </c>
      <c r="G32" s="51">
        <f t="shared" si="1"/>
        <v>68263</v>
      </c>
      <c r="H32" s="51"/>
    </row>
    <row r="33" spans="2:8" x14ac:dyDescent="0.25">
      <c r="B33" s="51"/>
      <c r="C33" s="130">
        <v>39508</v>
      </c>
      <c r="D33" s="129">
        <v>57400</v>
      </c>
      <c r="E33" s="129">
        <v>12918</v>
      </c>
      <c r="F33" s="131">
        <f t="shared" si="0"/>
        <v>0.22505226480836238</v>
      </c>
      <c r="G33" s="51">
        <f t="shared" si="1"/>
        <v>44482</v>
      </c>
      <c r="H33" s="51"/>
    </row>
    <row r="34" spans="2:8" x14ac:dyDescent="0.25">
      <c r="B34" s="51"/>
      <c r="C34" s="130">
        <v>39539</v>
      </c>
      <c r="D34" s="129">
        <v>65400</v>
      </c>
      <c r="E34" s="129">
        <v>15433.5</v>
      </c>
      <c r="F34" s="131">
        <f t="shared" si="0"/>
        <v>0.23598623853211009</v>
      </c>
      <c r="G34" s="51">
        <f t="shared" si="1"/>
        <v>49966.5</v>
      </c>
      <c r="H34" s="51"/>
    </row>
    <row r="35" spans="2:8" x14ac:dyDescent="0.25">
      <c r="B35" s="51"/>
      <c r="C35" s="130">
        <v>39569</v>
      </c>
      <c r="D35" s="129">
        <v>172696.04</v>
      </c>
      <c r="E35" s="129">
        <v>60947.72</v>
      </c>
      <c r="F35" s="131">
        <f t="shared" si="0"/>
        <v>0.35291903624425897</v>
      </c>
      <c r="G35" s="51">
        <f t="shared" si="1"/>
        <v>111748.32</v>
      </c>
      <c r="H35" s="51"/>
    </row>
    <row r="36" spans="2:8" x14ac:dyDescent="0.25">
      <c r="B36" s="51"/>
      <c r="C36" s="130">
        <v>39600</v>
      </c>
      <c r="D36" s="129">
        <v>79700</v>
      </c>
      <c r="E36" s="129">
        <v>20438.5</v>
      </c>
      <c r="F36" s="131">
        <f t="shared" si="0"/>
        <v>0.25644291091593474</v>
      </c>
      <c r="G36" s="51">
        <f t="shared" si="1"/>
        <v>59261.5</v>
      </c>
      <c r="H36" s="51"/>
    </row>
    <row r="37" spans="2:8" x14ac:dyDescent="0.25">
      <c r="B37" s="51"/>
      <c r="C37" s="130">
        <v>39630</v>
      </c>
      <c r="D37" s="129">
        <v>122021.49</v>
      </c>
      <c r="E37" s="129">
        <v>38091.97</v>
      </c>
      <c r="F37" s="131">
        <f t="shared" si="0"/>
        <v>0.31217427356443522</v>
      </c>
      <c r="G37" s="51">
        <f t="shared" si="1"/>
        <v>83929.52</v>
      </c>
      <c r="H37" s="51"/>
    </row>
    <row r="38" spans="2:8" x14ac:dyDescent="0.25">
      <c r="B38" s="51"/>
      <c r="C38" s="130">
        <v>39661</v>
      </c>
      <c r="D38" s="129">
        <v>120690.91</v>
      </c>
      <c r="E38" s="129">
        <v>37493.21</v>
      </c>
      <c r="F38" s="131">
        <f t="shared" si="0"/>
        <v>0.31065479579199456</v>
      </c>
      <c r="G38" s="51">
        <f t="shared" si="1"/>
        <v>83197.700000000012</v>
      </c>
      <c r="H38" s="51"/>
    </row>
    <row r="39" spans="2:8" x14ac:dyDescent="0.25">
      <c r="B39" s="51"/>
      <c r="C39" s="130">
        <v>39692</v>
      </c>
      <c r="D39" s="129">
        <v>208495.33</v>
      </c>
      <c r="E39" s="129">
        <v>77005.2</v>
      </c>
      <c r="F39" s="131">
        <f t="shared" si="0"/>
        <v>0.36933776886033853</v>
      </c>
      <c r="G39" s="51">
        <f t="shared" si="1"/>
        <v>131490.13</v>
      </c>
      <c r="H39" s="51"/>
    </row>
    <row r="40" spans="2:8" x14ac:dyDescent="0.25">
      <c r="B40" s="51"/>
      <c r="C40" s="130">
        <v>39692</v>
      </c>
      <c r="D40" s="129">
        <v>27556</v>
      </c>
      <c r="E40" s="129">
        <v>5511.2</v>
      </c>
      <c r="F40" s="131">
        <f t="shared" si="0"/>
        <v>0.19999999999999998</v>
      </c>
      <c r="G40" s="51">
        <f t="shared" si="1"/>
        <v>22044.799999999999</v>
      </c>
      <c r="H40" s="51" t="s">
        <v>1089</v>
      </c>
    </row>
    <row r="41" spans="2:8" x14ac:dyDescent="0.25">
      <c r="B41" s="51"/>
      <c r="C41" s="130">
        <v>39722</v>
      </c>
      <c r="D41" s="129">
        <v>114264.13</v>
      </c>
      <c r="E41" s="129">
        <v>34601.160000000003</v>
      </c>
      <c r="F41" s="131">
        <f t="shared" si="0"/>
        <v>0.30281734084003442</v>
      </c>
      <c r="G41" s="51">
        <f t="shared" si="1"/>
        <v>79662.97</v>
      </c>
      <c r="H41" s="51"/>
    </row>
    <row r="42" spans="2:8" x14ac:dyDescent="0.25">
      <c r="B42" s="51"/>
      <c r="C42" s="130">
        <v>39753</v>
      </c>
      <c r="D42" s="129">
        <v>132315.57</v>
      </c>
      <c r="E42" s="129">
        <v>42724.31</v>
      </c>
      <c r="F42" s="131">
        <f t="shared" si="0"/>
        <v>0.3228970709947438</v>
      </c>
      <c r="G42" s="51">
        <f t="shared" si="1"/>
        <v>89591.260000000009</v>
      </c>
      <c r="H42" s="51"/>
    </row>
    <row r="43" spans="2:8" x14ac:dyDescent="0.25">
      <c r="B43" s="129">
        <f>SUM(D30:D43)</f>
        <v>1398636</v>
      </c>
      <c r="C43" s="130">
        <v>39783</v>
      </c>
      <c r="D43" s="129">
        <v>143730.32</v>
      </c>
      <c r="E43" s="129">
        <v>47860.94</v>
      </c>
      <c r="F43" s="131">
        <f t="shared" si="0"/>
        <v>0.33299125751615943</v>
      </c>
      <c r="G43" s="51">
        <f t="shared" si="1"/>
        <v>95869.38</v>
      </c>
      <c r="H43" s="51"/>
    </row>
    <row r="44" spans="2:8" x14ac:dyDescent="0.25">
      <c r="B44" s="51"/>
      <c r="C44" s="130">
        <v>39814</v>
      </c>
      <c r="D44" s="129">
        <v>124902.96</v>
      </c>
      <c r="E44" s="129">
        <v>39388.629999999997</v>
      </c>
      <c r="F44" s="131">
        <f t="shared" si="0"/>
        <v>0.3153538555051057</v>
      </c>
      <c r="G44" s="51">
        <f t="shared" si="1"/>
        <v>85514.330000000016</v>
      </c>
      <c r="H44" s="51"/>
    </row>
    <row r="45" spans="2:8" x14ac:dyDescent="0.25">
      <c r="B45" s="51"/>
      <c r="C45" s="130">
        <v>39845</v>
      </c>
      <c r="D45" s="129">
        <v>22000</v>
      </c>
      <c r="E45" s="129">
        <v>3383</v>
      </c>
      <c r="F45" s="131">
        <f t="shared" si="0"/>
        <v>0.15377272727272728</v>
      </c>
      <c r="G45" s="51">
        <f t="shared" si="1"/>
        <v>18617</v>
      </c>
      <c r="H45" s="51"/>
    </row>
    <row r="46" spans="2:8" x14ac:dyDescent="0.25">
      <c r="B46" s="51"/>
      <c r="C46" s="130">
        <v>39845</v>
      </c>
      <c r="D46" s="129">
        <v>190350.28</v>
      </c>
      <c r="E46" s="129">
        <v>37695.06</v>
      </c>
      <c r="F46" s="131">
        <f t="shared" si="0"/>
        <v>0.19802996875024295</v>
      </c>
      <c r="G46" s="51">
        <f t="shared" si="1"/>
        <v>152655.22</v>
      </c>
      <c r="H46" s="51"/>
    </row>
    <row r="47" spans="2:8" x14ac:dyDescent="0.25">
      <c r="B47" s="51"/>
      <c r="C47" s="130">
        <v>39873</v>
      </c>
      <c r="D47" s="129">
        <v>122479.25</v>
      </c>
      <c r="E47" s="129">
        <v>38297.96</v>
      </c>
      <c r="F47" s="131">
        <f t="shared" si="0"/>
        <v>0.31268937391435692</v>
      </c>
      <c r="G47" s="51">
        <f t="shared" si="1"/>
        <v>84181.290000000008</v>
      </c>
      <c r="H47" s="51"/>
    </row>
    <row r="48" spans="2:8" x14ac:dyDescent="0.25">
      <c r="B48" s="51"/>
      <c r="C48" s="130">
        <v>39873</v>
      </c>
      <c r="D48" s="129">
        <v>85747.7</v>
      </c>
      <c r="E48" s="129">
        <v>17149.54</v>
      </c>
      <c r="F48" s="131">
        <f t="shared" si="0"/>
        <v>0.2</v>
      </c>
      <c r="G48" s="51">
        <f t="shared" si="1"/>
        <v>68598.16</v>
      </c>
      <c r="H48" s="51" t="s">
        <v>1090</v>
      </c>
    </row>
    <row r="49" spans="2:8" x14ac:dyDescent="0.25">
      <c r="B49" s="51"/>
      <c r="C49" s="130">
        <v>39904</v>
      </c>
      <c r="D49" s="129">
        <v>121429.64</v>
      </c>
      <c r="E49" s="129">
        <v>37825.64</v>
      </c>
      <c r="F49" s="131">
        <f t="shared" si="0"/>
        <v>0.31150252936597689</v>
      </c>
      <c r="G49" s="51">
        <f t="shared" si="1"/>
        <v>83604</v>
      </c>
      <c r="H49" s="51"/>
    </row>
    <row r="50" spans="2:8" x14ac:dyDescent="0.25">
      <c r="B50" s="51"/>
      <c r="C50" s="130">
        <v>39934</v>
      </c>
      <c r="D50" s="129">
        <v>114856.04</v>
      </c>
      <c r="E50" s="129">
        <v>34867.519999999997</v>
      </c>
      <c r="F50" s="131">
        <f t="shared" si="0"/>
        <v>0.30357585025567657</v>
      </c>
      <c r="G50" s="51">
        <f t="shared" si="1"/>
        <v>79988.51999999999</v>
      </c>
      <c r="H50" s="51"/>
    </row>
    <row r="51" spans="2:8" x14ac:dyDescent="0.25">
      <c r="B51" s="51"/>
      <c r="C51" s="130">
        <v>39965</v>
      </c>
      <c r="D51" s="129">
        <v>115019.54</v>
      </c>
      <c r="E51" s="129">
        <v>34941.089999999997</v>
      </c>
      <c r="F51" s="131">
        <f t="shared" si="0"/>
        <v>0.30378394836216521</v>
      </c>
      <c r="G51" s="51">
        <f t="shared" si="1"/>
        <v>80078.45</v>
      </c>
      <c r="H51" s="51"/>
    </row>
    <row r="52" spans="2:8" x14ac:dyDescent="0.25">
      <c r="B52" s="51"/>
      <c r="C52" s="130">
        <v>39995</v>
      </c>
      <c r="D52" s="129">
        <v>106504.51</v>
      </c>
      <c r="E52" s="129">
        <v>31039.58</v>
      </c>
      <c r="F52" s="131">
        <f t="shared" si="0"/>
        <v>0.29143911370513798</v>
      </c>
      <c r="G52" s="51">
        <f t="shared" si="1"/>
        <v>75464.929999999993</v>
      </c>
      <c r="H52" s="51"/>
    </row>
    <row r="53" spans="2:8" x14ac:dyDescent="0.25">
      <c r="B53" s="51"/>
      <c r="C53" s="130">
        <v>40026</v>
      </c>
      <c r="D53" s="129">
        <v>115429.88</v>
      </c>
      <c r="E53" s="129">
        <v>35056</v>
      </c>
      <c r="F53" s="131">
        <f t="shared" si="0"/>
        <v>0.30369952736674422</v>
      </c>
      <c r="G53" s="51">
        <f t="shared" si="1"/>
        <v>80373.88</v>
      </c>
      <c r="H53" s="51"/>
    </row>
    <row r="54" spans="2:8" x14ac:dyDescent="0.25">
      <c r="B54" s="51"/>
      <c r="C54" s="130">
        <v>40057</v>
      </c>
      <c r="D54" s="129">
        <v>120605.05</v>
      </c>
      <c r="E54" s="129">
        <v>37384.82</v>
      </c>
      <c r="F54" s="131">
        <f t="shared" si="0"/>
        <v>0.30997723561326823</v>
      </c>
      <c r="G54" s="51">
        <f t="shared" si="1"/>
        <v>83220.23000000001</v>
      </c>
      <c r="H54" s="51"/>
    </row>
    <row r="55" spans="2:8" x14ac:dyDescent="0.25">
      <c r="B55" s="51"/>
      <c r="C55" s="130">
        <v>40087</v>
      </c>
      <c r="D55" s="129">
        <v>106387.36</v>
      </c>
      <c r="E55" s="129">
        <v>30986.86</v>
      </c>
      <c r="F55" s="131">
        <f t="shared" si="0"/>
        <v>0.291264488563303</v>
      </c>
      <c r="G55" s="51">
        <f t="shared" si="1"/>
        <v>75400.5</v>
      </c>
      <c r="H55" s="51"/>
    </row>
    <row r="56" spans="2:8" x14ac:dyDescent="0.25">
      <c r="B56" s="51"/>
      <c r="C56" s="130">
        <v>40118</v>
      </c>
      <c r="D56" s="129">
        <v>374054.11</v>
      </c>
      <c r="E56" s="129">
        <v>151436.9</v>
      </c>
      <c r="F56" s="131">
        <f t="shared" si="0"/>
        <v>0.404852923551622</v>
      </c>
      <c r="G56" s="51">
        <f t="shared" si="1"/>
        <v>222617.21</v>
      </c>
      <c r="H56" s="51"/>
    </row>
    <row r="57" spans="2:8" x14ac:dyDescent="0.25">
      <c r="B57" s="129">
        <f>SUM(D44:D57)</f>
        <v>1842911.3900000004</v>
      </c>
      <c r="C57" s="130">
        <v>40148</v>
      </c>
      <c r="D57" s="129">
        <v>123145.07</v>
      </c>
      <c r="E57" s="129">
        <v>38527.83</v>
      </c>
      <c r="F57" s="131">
        <f t="shared" si="0"/>
        <v>0.31286538714054896</v>
      </c>
      <c r="G57" s="51">
        <f t="shared" si="1"/>
        <v>84617.24</v>
      </c>
      <c r="H57" s="51"/>
    </row>
    <row r="58" spans="2:8" x14ac:dyDescent="0.25">
      <c r="B58" s="51"/>
      <c r="C58" s="130">
        <v>40179</v>
      </c>
      <c r="D58" s="129">
        <v>102638.17</v>
      </c>
      <c r="E58" s="129">
        <v>29335.87</v>
      </c>
      <c r="F58" s="131">
        <f t="shared" si="0"/>
        <v>0.28581832665177098</v>
      </c>
      <c r="G58" s="51">
        <f t="shared" si="1"/>
        <v>73302.3</v>
      </c>
      <c r="H58" s="51"/>
    </row>
    <row r="59" spans="2:8" x14ac:dyDescent="0.25">
      <c r="B59" s="51"/>
      <c r="C59" s="130">
        <v>40210</v>
      </c>
      <c r="D59" s="129">
        <v>22000</v>
      </c>
      <c r="E59" s="129">
        <v>3352.8</v>
      </c>
      <c r="F59" s="131">
        <f t="shared" si="0"/>
        <v>0.15240000000000001</v>
      </c>
      <c r="G59" s="51">
        <f t="shared" si="1"/>
        <v>18647.2</v>
      </c>
      <c r="H59" s="51"/>
    </row>
    <row r="60" spans="2:8" x14ac:dyDescent="0.25">
      <c r="B60" s="51"/>
      <c r="C60" s="130">
        <v>40210</v>
      </c>
      <c r="D60" s="129">
        <v>187101.35</v>
      </c>
      <c r="E60" s="129">
        <v>37045.269999999997</v>
      </c>
      <c r="F60" s="131">
        <f t="shared" si="0"/>
        <v>0.19799573867318432</v>
      </c>
      <c r="G60" s="51">
        <f t="shared" si="1"/>
        <v>150056.08000000002</v>
      </c>
      <c r="H60" s="51"/>
    </row>
    <row r="61" spans="2:8" x14ac:dyDescent="0.25">
      <c r="B61" s="51"/>
      <c r="C61" s="130">
        <v>40238</v>
      </c>
      <c r="D61" s="129">
        <v>103930</v>
      </c>
      <c r="E61" s="129">
        <v>29881.05</v>
      </c>
      <c r="F61" s="131">
        <f t="shared" si="0"/>
        <v>0.28751130568651978</v>
      </c>
      <c r="G61" s="51">
        <f t="shared" si="1"/>
        <v>74048.95</v>
      </c>
      <c r="H61" s="51"/>
    </row>
    <row r="62" spans="2:8" x14ac:dyDescent="0.25">
      <c r="B62" s="51"/>
      <c r="C62" s="130">
        <v>40238</v>
      </c>
      <c r="D62" s="129">
        <v>190817.81</v>
      </c>
      <c r="E62" s="129">
        <v>38163.56</v>
      </c>
      <c r="F62" s="131">
        <f t="shared" si="0"/>
        <v>0.19999998951879805</v>
      </c>
      <c r="G62" s="51">
        <f t="shared" si="1"/>
        <v>152654.25</v>
      </c>
      <c r="H62" s="51" t="s">
        <v>1090</v>
      </c>
    </row>
    <row r="63" spans="2:8" x14ac:dyDescent="0.25">
      <c r="B63" s="51"/>
      <c r="C63" s="130">
        <v>40269</v>
      </c>
      <c r="D63" s="129">
        <v>106332.05</v>
      </c>
      <c r="E63" s="129">
        <v>30961.97</v>
      </c>
      <c r="F63" s="131">
        <f t="shared" si="0"/>
        <v>0.29118191551841616</v>
      </c>
      <c r="G63" s="51">
        <f t="shared" si="1"/>
        <v>75370.080000000002</v>
      </c>
      <c r="H63" s="51"/>
    </row>
    <row r="64" spans="2:8" x14ac:dyDescent="0.25">
      <c r="B64" s="51"/>
      <c r="C64" s="130">
        <v>40299</v>
      </c>
      <c r="D64" s="129">
        <v>96752.92</v>
      </c>
      <c r="E64" s="129">
        <v>26981.77</v>
      </c>
      <c r="F64" s="131">
        <f t="shared" si="0"/>
        <v>0.27887292703930799</v>
      </c>
      <c r="G64" s="51">
        <f t="shared" si="1"/>
        <v>69771.149999999994</v>
      </c>
      <c r="H64" s="51"/>
    </row>
    <row r="65" spans="2:8" x14ac:dyDescent="0.25">
      <c r="B65" s="51"/>
      <c r="C65" s="130">
        <v>40330</v>
      </c>
      <c r="D65" s="129">
        <v>101391.85</v>
      </c>
      <c r="E65" s="129">
        <v>28837.34</v>
      </c>
      <c r="F65" s="131">
        <f t="shared" si="0"/>
        <v>0.2844147729822466</v>
      </c>
      <c r="G65" s="51">
        <f t="shared" si="1"/>
        <v>72554.510000000009</v>
      </c>
      <c r="H65" s="51"/>
    </row>
    <row r="66" spans="2:8" x14ac:dyDescent="0.25">
      <c r="B66" s="51"/>
      <c r="C66" s="130">
        <v>40360</v>
      </c>
      <c r="D66" s="129">
        <v>91798.04</v>
      </c>
      <c r="E66" s="129">
        <v>24999.82</v>
      </c>
      <c r="F66" s="131">
        <f t="shared" si="0"/>
        <v>0.27233500845987563</v>
      </c>
      <c r="G66" s="51">
        <f t="shared" si="1"/>
        <v>66798.22</v>
      </c>
      <c r="H66" s="51"/>
    </row>
    <row r="67" spans="2:8" x14ac:dyDescent="0.25">
      <c r="B67" s="51"/>
      <c r="C67" s="130">
        <v>40391</v>
      </c>
      <c r="D67" s="129">
        <v>97812.53</v>
      </c>
      <c r="E67" s="129">
        <v>27359.61</v>
      </c>
      <c r="F67" s="131">
        <f t="shared" si="0"/>
        <v>0.27971477682869467</v>
      </c>
      <c r="G67" s="51">
        <f t="shared" si="1"/>
        <v>70452.92</v>
      </c>
      <c r="H67" s="51"/>
    </row>
    <row r="68" spans="2:8" x14ac:dyDescent="0.25">
      <c r="B68" s="51"/>
      <c r="C68" s="130">
        <v>40422</v>
      </c>
      <c r="D68" s="129">
        <v>360885.04</v>
      </c>
      <c r="E68" s="129">
        <v>145459.07</v>
      </c>
      <c r="F68" s="131">
        <f t="shared" si="0"/>
        <v>0.40306206652401</v>
      </c>
      <c r="G68" s="51">
        <f t="shared" si="1"/>
        <v>215425.96999999997</v>
      </c>
      <c r="H68" s="51"/>
    </row>
    <row r="69" spans="2:8" x14ac:dyDescent="0.25">
      <c r="B69" s="51"/>
      <c r="C69" s="130">
        <v>40452</v>
      </c>
      <c r="D69" s="129">
        <v>88741.3</v>
      </c>
      <c r="E69" s="129">
        <v>23731.119999999999</v>
      </c>
      <c r="F69" s="131">
        <f t="shared" si="0"/>
        <v>0.26741911601475299</v>
      </c>
      <c r="G69" s="51">
        <f t="shared" si="1"/>
        <v>65010.180000000008</v>
      </c>
      <c r="H69" s="51"/>
    </row>
    <row r="70" spans="2:8" x14ac:dyDescent="0.25">
      <c r="B70" s="51"/>
      <c r="C70" s="130">
        <v>40483</v>
      </c>
      <c r="D70" s="129">
        <v>90948.62</v>
      </c>
      <c r="E70" s="129">
        <v>24614.05</v>
      </c>
      <c r="F70" s="131">
        <f t="shared" si="0"/>
        <v>0.27063687167545808</v>
      </c>
      <c r="G70" s="51">
        <f t="shared" si="1"/>
        <v>66334.569999999992</v>
      </c>
      <c r="H70" s="51"/>
    </row>
    <row r="71" spans="2:8" x14ac:dyDescent="0.25">
      <c r="B71" s="129">
        <f>SUM(D58:D71)</f>
        <v>1756078.6400000001</v>
      </c>
      <c r="C71" s="130">
        <v>40513</v>
      </c>
      <c r="D71" s="129">
        <v>114928.96000000001</v>
      </c>
      <c r="E71" s="129">
        <v>34778.83</v>
      </c>
      <c r="F71" s="131">
        <f t="shared" si="0"/>
        <v>0.3026115436875092</v>
      </c>
      <c r="G71" s="51">
        <f t="shared" si="1"/>
        <v>80150.13</v>
      </c>
      <c r="H71" s="51"/>
    </row>
    <row r="72" spans="2:8" x14ac:dyDescent="0.25">
      <c r="B72" s="51"/>
      <c r="C72" s="130">
        <v>40544</v>
      </c>
      <c r="D72" s="129">
        <v>89638.23</v>
      </c>
      <c r="E72" s="129">
        <v>24089.89</v>
      </c>
      <c r="F72" s="131">
        <f t="shared" si="0"/>
        <v>0.26874571262730201</v>
      </c>
      <c r="G72" s="51">
        <f t="shared" si="1"/>
        <v>65548.34</v>
      </c>
      <c r="H72" s="51"/>
    </row>
    <row r="73" spans="2:8" x14ac:dyDescent="0.25">
      <c r="B73" s="51"/>
      <c r="C73" s="130">
        <v>40575</v>
      </c>
      <c r="D73" s="129">
        <v>122452.09</v>
      </c>
      <c r="E73" s="129">
        <v>24115.42</v>
      </c>
      <c r="F73" s="131">
        <f t="shared" si="0"/>
        <v>0.19693759412354658</v>
      </c>
      <c r="G73" s="51">
        <f t="shared" si="1"/>
        <v>98336.67</v>
      </c>
      <c r="H73" s="51"/>
    </row>
    <row r="74" spans="2:8" x14ac:dyDescent="0.25">
      <c r="B74" s="51"/>
      <c r="C74" s="130">
        <v>40603</v>
      </c>
      <c r="D74" s="129">
        <v>298847.35999999999</v>
      </c>
      <c r="E74" s="129">
        <v>117542.11</v>
      </c>
      <c r="F74" s="131">
        <f t="shared" si="0"/>
        <v>0.39331821435531505</v>
      </c>
      <c r="G74" s="51">
        <f t="shared" si="1"/>
        <v>181305.25</v>
      </c>
      <c r="H74" s="51"/>
    </row>
    <row r="75" spans="2:8" x14ac:dyDescent="0.25">
      <c r="B75" s="51"/>
      <c r="C75" s="130">
        <v>40603</v>
      </c>
      <c r="D75" s="129">
        <v>175000</v>
      </c>
      <c r="E75" s="129">
        <v>35000</v>
      </c>
      <c r="F75" s="131">
        <f t="shared" si="0"/>
        <v>0.2</v>
      </c>
      <c r="G75" s="51">
        <f t="shared" si="1"/>
        <v>140000</v>
      </c>
      <c r="H75" s="51" t="s">
        <v>1090</v>
      </c>
    </row>
    <row r="76" spans="2:8" x14ac:dyDescent="0.25">
      <c r="B76" s="51"/>
      <c r="C76" s="130">
        <v>40634</v>
      </c>
      <c r="D76" s="129">
        <v>82781.53</v>
      </c>
      <c r="E76" s="129">
        <v>21381.94</v>
      </c>
      <c r="F76" s="131">
        <f t="shared" si="0"/>
        <v>0.25829360728172091</v>
      </c>
      <c r="G76" s="51">
        <f t="shared" si="1"/>
        <v>61399.59</v>
      </c>
      <c r="H76" s="51"/>
    </row>
    <row r="77" spans="2:8" x14ac:dyDescent="0.25">
      <c r="B77" s="51"/>
      <c r="C77" s="130">
        <v>40664</v>
      </c>
      <c r="D77" s="129">
        <v>102979.95</v>
      </c>
      <c r="E77" s="129">
        <v>29426.58</v>
      </c>
      <c r="F77" s="131">
        <f t="shared" si="0"/>
        <v>0.2857505757188657</v>
      </c>
      <c r="G77" s="51">
        <f t="shared" si="1"/>
        <v>73553.37</v>
      </c>
      <c r="H77" s="51"/>
    </row>
    <row r="78" spans="2:8" x14ac:dyDescent="0.25">
      <c r="B78" s="51"/>
      <c r="C78" s="130">
        <v>40695</v>
      </c>
      <c r="D78" s="129">
        <v>80439.009999999995</v>
      </c>
      <c r="E78" s="129">
        <v>20562.05</v>
      </c>
      <c r="F78" s="131">
        <f t="shared" si="0"/>
        <v>0.25562286258868677</v>
      </c>
      <c r="G78" s="51">
        <f t="shared" si="1"/>
        <v>59876.959999999992</v>
      </c>
      <c r="H78" s="51"/>
    </row>
    <row r="79" spans="2:8" x14ac:dyDescent="0.25">
      <c r="B79" s="51"/>
      <c r="C79" s="130">
        <v>40725</v>
      </c>
      <c r="D79" s="129">
        <v>82519.25</v>
      </c>
      <c r="E79" s="129">
        <v>21234.49</v>
      </c>
      <c r="F79" s="131">
        <f t="shared" si="0"/>
        <v>0.25732771444238772</v>
      </c>
      <c r="G79" s="51">
        <f t="shared" si="1"/>
        <v>61284.759999999995</v>
      </c>
      <c r="H79" s="51"/>
    </row>
    <row r="80" spans="2:8" x14ac:dyDescent="0.25">
      <c r="B80" s="51"/>
      <c r="C80" s="130">
        <v>40756</v>
      </c>
      <c r="D80" s="129">
        <v>0</v>
      </c>
      <c r="E80" s="129">
        <v>0</v>
      </c>
      <c r="F80" s="131">
        <v>0</v>
      </c>
      <c r="G80" s="51">
        <f t="shared" ref="G80:G143" si="2">D80-E80</f>
        <v>0</v>
      </c>
      <c r="H80" s="51"/>
    </row>
    <row r="81" spans="2:8" x14ac:dyDescent="0.25">
      <c r="B81" s="51"/>
      <c r="C81" s="130">
        <v>40787</v>
      </c>
      <c r="D81" s="129">
        <v>2031793.53</v>
      </c>
      <c r="E81" s="129">
        <v>898491.34</v>
      </c>
      <c r="F81" s="131">
        <f t="shared" ref="F81:F144" si="3">E81/D81</f>
        <v>0.44221586826295284</v>
      </c>
      <c r="G81" s="51">
        <f t="shared" si="2"/>
        <v>1133302.19</v>
      </c>
      <c r="H81" s="51"/>
    </row>
    <row r="82" spans="2:8" x14ac:dyDescent="0.25">
      <c r="B82" s="51"/>
      <c r="C82" s="130">
        <v>40817</v>
      </c>
      <c r="D82" s="129">
        <v>93157.81</v>
      </c>
      <c r="E82" s="129">
        <v>25558.15</v>
      </c>
      <c r="F82" s="131">
        <f t="shared" si="3"/>
        <v>0.27435327215184646</v>
      </c>
      <c r="G82" s="51">
        <f t="shared" si="2"/>
        <v>67599.66</v>
      </c>
      <c r="H82" s="51"/>
    </row>
    <row r="83" spans="2:8" x14ac:dyDescent="0.25">
      <c r="B83" s="51"/>
      <c r="C83" s="130">
        <v>40848</v>
      </c>
      <c r="D83" s="129">
        <v>87119.81</v>
      </c>
      <c r="E83" s="129">
        <v>22841.05</v>
      </c>
      <c r="F83" s="131">
        <f t="shared" si="3"/>
        <v>0.26217974993287979</v>
      </c>
      <c r="G83" s="51">
        <f t="shared" si="2"/>
        <v>64278.759999999995</v>
      </c>
      <c r="H83" s="51"/>
    </row>
    <row r="84" spans="2:8" x14ac:dyDescent="0.25">
      <c r="B84" s="129">
        <f>SUM(D72:D84)</f>
        <v>3341944.3800000004</v>
      </c>
      <c r="C84" s="130">
        <v>40878</v>
      </c>
      <c r="D84" s="129">
        <v>95215.81</v>
      </c>
      <c r="E84" s="129">
        <v>26484.25</v>
      </c>
      <c r="F84" s="131">
        <f t="shared" si="3"/>
        <v>0.27814971064154159</v>
      </c>
      <c r="G84" s="51">
        <f t="shared" si="2"/>
        <v>68731.56</v>
      </c>
      <c r="H84" s="51"/>
    </row>
    <row r="85" spans="2:8" x14ac:dyDescent="0.25">
      <c r="B85" s="51"/>
      <c r="C85" s="130">
        <v>40909</v>
      </c>
      <c r="D85" s="129">
        <v>125290.81</v>
      </c>
      <c r="E85" s="129">
        <v>40018</v>
      </c>
      <c r="F85" s="131">
        <f t="shared" si="3"/>
        <v>0.31940092014729571</v>
      </c>
      <c r="G85" s="51">
        <f t="shared" si="2"/>
        <v>85272.81</v>
      </c>
      <c r="H85" s="51"/>
    </row>
    <row r="86" spans="2:8" x14ac:dyDescent="0.25">
      <c r="B86" s="51"/>
      <c r="C86" s="130">
        <v>40940</v>
      </c>
      <c r="D86" s="129">
        <v>105115.81</v>
      </c>
      <c r="E86" s="129">
        <v>30939.25</v>
      </c>
      <c r="F86" s="131">
        <f t="shared" si="3"/>
        <v>0.29433488644572114</v>
      </c>
      <c r="G86" s="51">
        <f t="shared" si="2"/>
        <v>74176.56</v>
      </c>
      <c r="H86" s="51"/>
    </row>
    <row r="87" spans="2:8" x14ac:dyDescent="0.25">
      <c r="B87" s="51"/>
      <c r="C87" s="130">
        <v>40969</v>
      </c>
      <c r="D87" s="129">
        <v>403847.03</v>
      </c>
      <c r="E87" s="129">
        <v>165368.29999999999</v>
      </c>
      <c r="F87" s="131">
        <f t="shared" si="3"/>
        <v>0.40948252114173028</v>
      </c>
      <c r="G87" s="51">
        <f t="shared" si="2"/>
        <v>238478.73000000004</v>
      </c>
      <c r="H87" s="51"/>
    </row>
    <row r="88" spans="2:8" x14ac:dyDescent="0.25">
      <c r="B88" s="51"/>
      <c r="C88" s="130">
        <v>40969</v>
      </c>
      <c r="D88" s="129">
        <v>113000</v>
      </c>
      <c r="E88" s="129">
        <v>22600</v>
      </c>
      <c r="F88" s="131">
        <f t="shared" si="3"/>
        <v>0.2</v>
      </c>
      <c r="G88" s="51">
        <f t="shared" si="2"/>
        <v>90400</v>
      </c>
      <c r="H88" s="51" t="s">
        <v>1090</v>
      </c>
    </row>
    <row r="89" spans="2:8" x14ac:dyDescent="0.25">
      <c r="B89" s="51"/>
      <c r="C89" s="130">
        <v>41000</v>
      </c>
      <c r="D89" s="129">
        <v>27615.81</v>
      </c>
      <c r="E89" s="129">
        <v>4311.25</v>
      </c>
      <c r="F89" s="131">
        <f t="shared" si="3"/>
        <v>0.15611528323811613</v>
      </c>
      <c r="G89" s="51">
        <f t="shared" si="2"/>
        <v>23304.560000000001</v>
      </c>
      <c r="H89" s="51"/>
    </row>
    <row r="90" spans="2:8" x14ac:dyDescent="0.25">
      <c r="B90" s="51"/>
      <c r="C90" s="130">
        <v>41000</v>
      </c>
      <c r="D90" s="129">
        <v>169900</v>
      </c>
      <c r="E90" s="129">
        <v>41470</v>
      </c>
      <c r="F90" s="131">
        <f t="shared" si="3"/>
        <v>0.24408475573866981</v>
      </c>
      <c r="G90" s="51">
        <f t="shared" si="2"/>
        <v>128430</v>
      </c>
      <c r="H90" s="51"/>
    </row>
    <row r="91" spans="2:8" x14ac:dyDescent="0.25">
      <c r="B91" s="51"/>
      <c r="C91" s="130">
        <v>41030</v>
      </c>
      <c r="D91" s="129">
        <v>102615.81</v>
      </c>
      <c r="E91" s="129">
        <v>29814.25</v>
      </c>
      <c r="F91" s="131">
        <f t="shared" si="3"/>
        <v>0.29054246124451971</v>
      </c>
      <c r="G91" s="51">
        <f t="shared" si="2"/>
        <v>72801.56</v>
      </c>
      <c r="H91" s="51"/>
    </row>
    <row r="92" spans="2:8" x14ac:dyDescent="0.25">
      <c r="B92" s="51"/>
      <c r="C92" s="130">
        <v>41061</v>
      </c>
      <c r="D92" s="129">
        <v>99415.81</v>
      </c>
      <c r="E92" s="129">
        <v>28374.25</v>
      </c>
      <c r="F92" s="131">
        <f t="shared" si="3"/>
        <v>0.28540983571928852</v>
      </c>
      <c r="G92" s="51">
        <f t="shared" si="2"/>
        <v>71041.56</v>
      </c>
      <c r="H92" s="51"/>
    </row>
    <row r="93" spans="2:8" x14ac:dyDescent="0.25">
      <c r="B93" s="51"/>
      <c r="C93" s="130">
        <v>41091</v>
      </c>
      <c r="D93" s="129">
        <v>114647.81</v>
      </c>
      <c r="E93" s="129">
        <v>35228.65</v>
      </c>
      <c r="F93" s="131">
        <f t="shared" si="3"/>
        <v>0.30727712984661459</v>
      </c>
      <c r="G93" s="51">
        <f t="shared" si="2"/>
        <v>79419.16</v>
      </c>
      <c r="H93" s="51"/>
    </row>
    <row r="94" spans="2:8" x14ac:dyDescent="0.25">
      <c r="B94" s="51"/>
      <c r="C94" s="130">
        <v>41122</v>
      </c>
      <c r="D94" s="129">
        <v>101034.13</v>
      </c>
      <c r="E94" s="129">
        <v>29009.200000000001</v>
      </c>
      <c r="F94" s="131">
        <f t="shared" si="3"/>
        <v>0.28712277722389451</v>
      </c>
      <c r="G94" s="51">
        <f t="shared" si="2"/>
        <v>72024.930000000008</v>
      </c>
      <c r="H94" s="51"/>
    </row>
    <row r="95" spans="2:8" x14ac:dyDescent="0.25">
      <c r="B95" s="51"/>
      <c r="C95" s="130">
        <v>41153</v>
      </c>
      <c r="D95" s="129">
        <v>101034.13</v>
      </c>
      <c r="E95" s="129">
        <v>29009.200000000001</v>
      </c>
      <c r="F95" s="131">
        <f t="shared" si="3"/>
        <v>0.28712277722389451</v>
      </c>
      <c r="G95" s="51">
        <f t="shared" si="2"/>
        <v>72024.930000000008</v>
      </c>
      <c r="H95" s="51"/>
    </row>
    <row r="96" spans="2:8" x14ac:dyDescent="0.25">
      <c r="B96" s="51"/>
      <c r="C96" s="130">
        <v>41183</v>
      </c>
      <c r="D96" s="129">
        <v>201034.13</v>
      </c>
      <c r="E96" s="129">
        <v>74009.2</v>
      </c>
      <c r="F96" s="131">
        <f t="shared" si="3"/>
        <v>0.36814246416765151</v>
      </c>
      <c r="G96" s="51">
        <f t="shared" si="2"/>
        <v>127024.93000000001</v>
      </c>
      <c r="H96" s="51"/>
    </row>
    <row r="97" spans="2:8" x14ac:dyDescent="0.25">
      <c r="B97" s="51"/>
      <c r="C97" s="130">
        <v>41214</v>
      </c>
      <c r="D97" s="129">
        <v>81515.13</v>
      </c>
      <c r="E97" s="129">
        <v>20729.95</v>
      </c>
      <c r="F97" s="131">
        <f t="shared" si="3"/>
        <v>0.2543080039251609</v>
      </c>
      <c r="G97" s="51">
        <f t="shared" si="2"/>
        <v>60785.180000000008</v>
      </c>
      <c r="H97" s="51"/>
    </row>
    <row r="98" spans="2:8" x14ac:dyDescent="0.25">
      <c r="B98" s="129">
        <f>SUM(D85:D98)</f>
        <v>1847100.5399999996</v>
      </c>
      <c r="C98" s="130">
        <v>41244</v>
      </c>
      <c r="D98" s="129">
        <v>101034.13</v>
      </c>
      <c r="E98" s="129">
        <v>29009.200000000001</v>
      </c>
      <c r="F98" s="131">
        <f t="shared" si="3"/>
        <v>0.28712277722389451</v>
      </c>
      <c r="G98" s="51">
        <f t="shared" si="2"/>
        <v>72024.930000000008</v>
      </c>
      <c r="H98" s="51"/>
    </row>
    <row r="99" spans="2:8" x14ac:dyDescent="0.25">
      <c r="B99" s="51"/>
      <c r="C99" s="130">
        <v>41275</v>
      </c>
      <c r="D99" s="129">
        <v>141025.79999999999</v>
      </c>
      <c r="E99" s="129">
        <v>47005.45</v>
      </c>
      <c r="F99" s="131">
        <f t="shared" si="3"/>
        <v>0.3333109969948761</v>
      </c>
      <c r="G99" s="51">
        <f t="shared" si="2"/>
        <v>94020.349999999991</v>
      </c>
      <c r="H99" s="51"/>
    </row>
    <row r="100" spans="2:8" x14ac:dyDescent="0.25">
      <c r="B100" s="51"/>
      <c r="C100" s="130">
        <v>41306</v>
      </c>
      <c r="D100" s="129">
        <v>101034.13</v>
      </c>
      <c r="E100" s="129">
        <v>29009.200000000001</v>
      </c>
      <c r="F100" s="131">
        <f t="shared" si="3"/>
        <v>0.28712277722389451</v>
      </c>
      <c r="G100" s="51">
        <f t="shared" si="2"/>
        <v>72024.930000000008</v>
      </c>
      <c r="H100" s="51"/>
    </row>
    <row r="101" spans="2:8" x14ac:dyDescent="0.25">
      <c r="B101" s="51"/>
      <c r="C101" s="130">
        <v>41334</v>
      </c>
      <c r="D101" s="129">
        <v>541925.91</v>
      </c>
      <c r="E101" s="129">
        <v>227410.5</v>
      </c>
      <c r="F101" s="131">
        <f t="shared" si="3"/>
        <v>0.41963393114014419</v>
      </c>
      <c r="G101" s="51">
        <f t="shared" si="2"/>
        <v>314515.41000000003</v>
      </c>
      <c r="H101" s="51"/>
    </row>
    <row r="102" spans="2:8" x14ac:dyDescent="0.25">
      <c r="B102" s="51"/>
      <c r="C102" s="130">
        <v>41365</v>
      </c>
      <c r="D102" s="129">
        <v>51034.13</v>
      </c>
      <c r="E102" s="129">
        <v>10587.8</v>
      </c>
      <c r="F102" s="131">
        <f t="shared" si="3"/>
        <v>0.20746508268094313</v>
      </c>
      <c r="G102" s="51">
        <f t="shared" si="2"/>
        <v>40446.33</v>
      </c>
      <c r="H102" s="51"/>
    </row>
    <row r="103" spans="2:8" x14ac:dyDescent="0.25">
      <c r="B103" s="51"/>
      <c r="C103" s="130">
        <v>41365</v>
      </c>
      <c r="D103" s="129">
        <v>182700</v>
      </c>
      <c r="E103" s="129">
        <v>44670</v>
      </c>
      <c r="F103" s="131">
        <f t="shared" si="3"/>
        <v>0.2444991789819376</v>
      </c>
      <c r="G103" s="51">
        <f t="shared" si="2"/>
        <v>138030</v>
      </c>
      <c r="H103" s="51"/>
    </row>
    <row r="104" spans="2:8" x14ac:dyDescent="0.25">
      <c r="B104" s="51"/>
      <c r="C104" s="130">
        <v>41395</v>
      </c>
      <c r="D104" s="129">
        <v>100962.3</v>
      </c>
      <c r="E104" s="129">
        <v>29009.200000000001</v>
      </c>
      <c r="F104" s="131">
        <f t="shared" si="3"/>
        <v>0.28732705178071416</v>
      </c>
      <c r="G104" s="51">
        <f t="shared" si="2"/>
        <v>71953.100000000006</v>
      </c>
      <c r="H104" s="51"/>
    </row>
    <row r="105" spans="2:8" x14ac:dyDescent="0.25">
      <c r="B105" s="51"/>
      <c r="C105" s="130">
        <v>41426</v>
      </c>
      <c r="D105" s="129">
        <v>100619.54</v>
      </c>
      <c r="E105" s="129">
        <v>28854.959999999999</v>
      </c>
      <c r="F105" s="131">
        <f t="shared" si="3"/>
        <v>0.28677292700801454</v>
      </c>
      <c r="G105" s="51">
        <f t="shared" si="2"/>
        <v>71764.579999999987</v>
      </c>
      <c r="H105" s="51"/>
    </row>
    <row r="106" spans="2:8" x14ac:dyDescent="0.25">
      <c r="B106" s="51"/>
      <c r="C106" s="130">
        <v>41456</v>
      </c>
      <c r="D106" s="129">
        <v>100962.3</v>
      </c>
      <c r="E106" s="129">
        <v>29009.200000000001</v>
      </c>
      <c r="F106" s="131">
        <f t="shared" si="3"/>
        <v>0.28732705178071416</v>
      </c>
      <c r="G106" s="51">
        <f t="shared" si="2"/>
        <v>71953.100000000006</v>
      </c>
      <c r="H106" s="51"/>
    </row>
    <row r="107" spans="2:8" x14ac:dyDescent="0.25">
      <c r="B107" s="51"/>
      <c r="C107" s="130">
        <v>41487</v>
      </c>
      <c r="D107" s="129">
        <v>101110.08</v>
      </c>
      <c r="E107" s="129">
        <v>28924.15</v>
      </c>
      <c r="F107" s="131">
        <f t="shared" si="3"/>
        <v>0.28606593922188572</v>
      </c>
      <c r="G107" s="51">
        <f t="shared" si="2"/>
        <v>72185.929999999993</v>
      </c>
      <c r="H107" s="51"/>
    </row>
    <row r="108" spans="2:8" x14ac:dyDescent="0.25">
      <c r="B108" s="51"/>
      <c r="C108" s="130">
        <v>41518</v>
      </c>
      <c r="D108" s="129">
        <v>88416.08</v>
      </c>
      <c r="E108" s="129">
        <v>23211.85</v>
      </c>
      <c r="F108" s="131">
        <f t="shared" si="3"/>
        <v>0.26252973441030181</v>
      </c>
      <c r="G108" s="51">
        <f t="shared" si="2"/>
        <v>65204.23</v>
      </c>
      <c r="H108" s="51"/>
    </row>
    <row r="109" spans="2:8" x14ac:dyDescent="0.25">
      <c r="B109" s="51"/>
      <c r="C109" s="130">
        <v>41548</v>
      </c>
      <c r="D109" s="129">
        <v>189010.08</v>
      </c>
      <c r="E109" s="129">
        <v>68479.149999999994</v>
      </c>
      <c r="F109" s="131">
        <f t="shared" si="3"/>
        <v>0.3623042220817006</v>
      </c>
      <c r="G109" s="51">
        <f t="shared" si="2"/>
        <v>120530.93</v>
      </c>
      <c r="H109" s="51"/>
    </row>
    <row r="110" spans="2:8" x14ac:dyDescent="0.25">
      <c r="B110" s="51"/>
      <c r="C110" s="130">
        <v>41579</v>
      </c>
      <c r="D110" s="129">
        <v>101310.08</v>
      </c>
      <c r="E110" s="129">
        <v>29014.15</v>
      </c>
      <c r="F110" s="131">
        <f t="shared" si="3"/>
        <v>0.28638956755339645</v>
      </c>
      <c r="G110" s="51">
        <f t="shared" si="2"/>
        <v>72295.929999999993</v>
      </c>
      <c r="H110" s="51"/>
    </row>
    <row r="111" spans="2:8" x14ac:dyDescent="0.25">
      <c r="B111" s="51"/>
      <c r="C111" s="130">
        <v>41609</v>
      </c>
      <c r="D111" s="129">
        <v>125438.98</v>
      </c>
      <c r="E111" s="129">
        <v>39872.160000000003</v>
      </c>
      <c r="F111" s="131">
        <f t="shared" si="3"/>
        <v>0.31786100301517123</v>
      </c>
      <c r="G111" s="51">
        <f t="shared" si="2"/>
        <v>85566.819999999992</v>
      </c>
      <c r="H111" s="51"/>
    </row>
    <row r="112" spans="2:8" x14ac:dyDescent="0.25">
      <c r="B112" s="129">
        <f>SUM(D99:D112)</f>
        <v>2083542.9600000004</v>
      </c>
      <c r="C112" s="130">
        <v>41609</v>
      </c>
      <c r="D112" s="129">
        <v>157993.54999999999</v>
      </c>
      <c r="E112" s="129">
        <v>31598.71</v>
      </c>
      <c r="F112" s="131">
        <f t="shared" si="3"/>
        <v>0.2</v>
      </c>
      <c r="G112" s="51">
        <f t="shared" si="2"/>
        <v>126394.84</v>
      </c>
      <c r="H112" s="51" t="s">
        <v>1090</v>
      </c>
    </row>
    <row r="113" spans="2:8" x14ac:dyDescent="0.25">
      <c r="B113" s="51"/>
      <c r="C113" s="130">
        <v>41640</v>
      </c>
      <c r="D113" s="129">
        <v>150810.07999999999</v>
      </c>
      <c r="E113" s="129">
        <v>51289.15</v>
      </c>
      <c r="F113" s="131">
        <f t="shared" si="3"/>
        <v>0.34009099391764797</v>
      </c>
      <c r="G113" s="51">
        <f t="shared" si="2"/>
        <v>99520.93</v>
      </c>
      <c r="H113" s="51"/>
    </row>
    <row r="114" spans="2:8" x14ac:dyDescent="0.25">
      <c r="B114" s="51"/>
      <c r="C114" s="130">
        <v>41671</v>
      </c>
      <c r="D114" s="129">
        <v>101110.08</v>
      </c>
      <c r="E114" s="129">
        <v>28924.15</v>
      </c>
      <c r="F114" s="131">
        <f t="shared" si="3"/>
        <v>0.28606593922188572</v>
      </c>
      <c r="G114" s="51">
        <f t="shared" si="2"/>
        <v>72185.929999999993</v>
      </c>
      <c r="H114" s="51"/>
    </row>
    <row r="115" spans="2:8" x14ac:dyDescent="0.25">
      <c r="B115" s="51"/>
      <c r="C115" s="130">
        <v>41699</v>
      </c>
      <c r="D115" s="129">
        <v>998715.68</v>
      </c>
      <c r="E115" s="129">
        <v>432846.67</v>
      </c>
      <c r="F115" s="131">
        <f t="shared" si="3"/>
        <v>0.43340329852436077</v>
      </c>
      <c r="G115" s="51">
        <f t="shared" si="2"/>
        <v>565869.01</v>
      </c>
      <c r="H115" s="51"/>
    </row>
    <row r="116" spans="2:8" x14ac:dyDescent="0.25">
      <c r="B116" s="51"/>
      <c r="C116" s="130">
        <v>41730</v>
      </c>
      <c r="D116" s="129">
        <v>92967.24</v>
      </c>
      <c r="E116" s="129">
        <v>25259.87</v>
      </c>
      <c r="F116" s="131">
        <f t="shared" si="3"/>
        <v>0.27170721643452034</v>
      </c>
      <c r="G116" s="51">
        <f t="shared" si="2"/>
        <v>67707.37000000001</v>
      </c>
      <c r="H116" s="51"/>
    </row>
    <row r="117" spans="2:8" x14ac:dyDescent="0.25">
      <c r="B117" s="51"/>
      <c r="C117" s="130">
        <v>41730</v>
      </c>
      <c r="D117" s="129">
        <v>108000</v>
      </c>
      <c r="E117" s="129">
        <v>21045</v>
      </c>
      <c r="F117" s="131">
        <f t="shared" si="3"/>
        <v>0.19486111111111112</v>
      </c>
      <c r="G117" s="51">
        <f t="shared" si="2"/>
        <v>86955</v>
      </c>
      <c r="H117" s="51"/>
    </row>
    <row r="118" spans="2:8" x14ac:dyDescent="0.25">
      <c r="B118" s="51"/>
      <c r="C118" s="130">
        <v>41760</v>
      </c>
      <c r="D118" s="129">
        <v>100162.73</v>
      </c>
      <c r="E118" s="129">
        <v>28497.84</v>
      </c>
      <c r="F118" s="131">
        <f t="shared" si="3"/>
        <v>0.28451540807643722</v>
      </c>
      <c r="G118" s="51">
        <f t="shared" si="2"/>
        <v>71664.89</v>
      </c>
      <c r="H118" s="51"/>
    </row>
    <row r="119" spans="2:8" x14ac:dyDescent="0.25">
      <c r="B119" s="51"/>
      <c r="C119" s="130">
        <v>41791</v>
      </c>
      <c r="D119" s="129">
        <v>100710.19</v>
      </c>
      <c r="E119" s="129">
        <v>28744.2</v>
      </c>
      <c r="F119" s="131">
        <f t="shared" si="3"/>
        <v>0.28541501113243856</v>
      </c>
      <c r="G119" s="51">
        <f t="shared" si="2"/>
        <v>71965.990000000005</v>
      </c>
      <c r="H119" s="51"/>
    </row>
    <row r="120" spans="2:8" x14ac:dyDescent="0.25">
      <c r="B120" s="51"/>
      <c r="C120" s="130">
        <v>41821</v>
      </c>
      <c r="D120" s="129">
        <v>100724.48</v>
      </c>
      <c r="E120" s="129">
        <v>28750.63</v>
      </c>
      <c r="F120" s="131">
        <f t="shared" si="3"/>
        <v>0.28543835619702385</v>
      </c>
      <c r="G120" s="51">
        <f t="shared" si="2"/>
        <v>71973.849999999991</v>
      </c>
      <c r="H120" s="51"/>
    </row>
    <row r="121" spans="2:8" x14ac:dyDescent="0.25">
      <c r="B121" s="51"/>
      <c r="C121" s="130">
        <v>41852</v>
      </c>
      <c r="D121" s="129">
        <v>100703.3</v>
      </c>
      <c r="E121" s="129">
        <v>28616.97</v>
      </c>
      <c r="F121" s="131">
        <f t="shared" si="3"/>
        <v>0.28417112448152149</v>
      </c>
      <c r="G121" s="51">
        <f t="shared" si="2"/>
        <v>72086.33</v>
      </c>
      <c r="H121" s="51"/>
    </row>
    <row r="122" spans="2:8" x14ac:dyDescent="0.25">
      <c r="B122" s="51"/>
      <c r="C122" s="130">
        <v>41883</v>
      </c>
      <c r="D122" s="129">
        <v>100412.91</v>
      </c>
      <c r="E122" s="129">
        <v>28486.3</v>
      </c>
      <c r="F122" s="131">
        <f t="shared" si="3"/>
        <v>0.2836916089773715</v>
      </c>
      <c r="G122" s="51">
        <f t="shared" si="2"/>
        <v>71926.61</v>
      </c>
      <c r="H122" s="51"/>
    </row>
    <row r="123" spans="2:8" x14ac:dyDescent="0.25">
      <c r="B123" s="51"/>
      <c r="C123" s="130">
        <v>41913</v>
      </c>
      <c r="D123" s="129">
        <v>169342.22</v>
      </c>
      <c r="E123" s="129">
        <v>59504.49</v>
      </c>
      <c r="F123" s="131">
        <f t="shared" si="3"/>
        <v>0.35138602765453292</v>
      </c>
      <c r="G123" s="51">
        <f t="shared" si="2"/>
        <v>109837.73000000001</v>
      </c>
      <c r="H123" s="51"/>
    </row>
    <row r="124" spans="2:8" x14ac:dyDescent="0.25">
      <c r="B124" s="51"/>
      <c r="C124" s="130">
        <v>41944</v>
      </c>
      <c r="D124" s="129">
        <v>100622.37</v>
      </c>
      <c r="E124" s="129">
        <v>28580.55</v>
      </c>
      <c r="F124" s="131">
        <f t="shared" si="3"/>
        <v>0.28403773435270907</v>
      </c>
      <c r="G124" s="51">
        <f t="shared" si="2"/>
        <v>72041.819999999992</v>
      </c>
      <c r="H124" s="51"/>
    </row>
    <row r="125" spans="2:8" x14ac:dyDescent="0.25">
      <c r="B125" s="129">
        <f>SUM(D112:D125)</f>
        <v>2482978.1300000004</v>
      </c>
      <c r="C125" s="130">
        <v>41974</v>
      </c>
      <c r="D125" s="129">
        <v>100703.3</v>
      </c>
      <c r="E125" s="129">
        <v>28616.97</v>
      </c>
      <c r="F125" s="131">
        <f t="shared" si="3"/>
        <v>0.28417112448152149</v>
      </c>
      <c r="G125" s="51">
        <f t="shared" si="2"/>
        <v>72086.33</v>
      </c>
      <c r="H125" s="51"/>
    </row>
    <row r="126" spans="2:8" x14ac:dyDescent="0.25">
      <c r="B126" s="51"/>
      <c r="C126" s="130">
        <v>42005</v>
      </c>
      <c r="D126" s="129">
        <v>141668.45000000001</v>
      </c>
      <c r="E126" s="129">
        <v>47051.29</v>
      </c>
      <c r="F126" s="131">
        <f t="shared" si="3"/>
        <v>0.3321225721040923</v>
      </c>
      <c r="G126" s="51">
        <f t="shared" si="2"/>
        <v>94617.16</v>
      </c>
      <c r="H126" s="51"/>
    </row>
    <row r="127" spans="2:8" x14ac:dyDescent="0.25">
      <c r="B127" s="51"/>
      <c r="C127" s="130">
        <v>42036</v>
      </c>
      <c r="D127" s="129">
        <v>70675.08</v>
      </c>
      <c r="E127" s="129">
        <v>16746.66</v>
      </c>
      <c r="F127" s="131">
        <f t="shared" si="3"/>
        <v>0.23695282693701938</v>
      </c>
      <c r="G127" s="51">
        <f t="shared" si="2"/>
        <v>53928.42</v>
      </c>
      <c r="H127" s="51"/>
    </row>
    <row r="128" spans="2:8" x14ac:dyDescent="0.25">
      <c r="B128" s="51"/>
      <c r="C128" s="130">
        <v>42064</v>
      </c>
      <c r="D128" s="129">
        <v>1683855.01</v>
      </c>
      <c r="E128" s="129">
        <v>741035.24</v>
      </c>
      <c r="F128" s="131">
        <f t="shared" si="3"/>
        <v>0.44008256981698202</v>
      </c>
      <c r="G128" s="51">
        <f t="shared" si="2"/>
        <v>942819.77</v>
      </c>
      <c r="H128" s="51"/>
    </row>
    <row r="129" spans="2:8" x14ac:dyDescent="0.25">
      <c r="B129" s="51"/>
      <c r="C129" s="130">
        <v>42095</v>
      </c>
      <c r="D129" s="129">
        <v>50636.66</v>
      </c>
      <c r="E129" s="129">
        <v>10306.32</v>
      </c>
      <c r="F129" s="131">
        <f t="shared" si="3"/>
        <v>0.20353475130468715</v>
      </c>
      <c r="G129" s="51">
        <f t="shared" si="2"/>
        <v>40330.340000000004</v>
      </c>
      <c r="H129" s="51"/>
    </row>
    <row r="130" spans="2:8" x14ac:dyDescent="0.25">
      <c r="B130" s="51"/>
      <c r="C130" s="130">
        <v>42095</v>
      </c>
      <c r="D130" s="129">
        <v>164400</v>
      </c>
      <c r="E130" s="129">
        <v>40095</v>
      </c>
      <c r="F130" s="131">
        <f t="shared" si="3"/>
        <v>0.24388686131386861</v>
      </c>
      <c r="G130" s="51">
        <f t="shared" si="2"/>
        <v>124305</v>
      </c>
      <c r="H130" s="51"/>
    </row>
    <row r="131" spans="2:8" x14ac:dyDescent="0.25">
      <c r="B131" s="51"/>
      <c r="C131" s="130">
        <v>42125</v>
      </c>
      <c r="D131" s="129">
        <v>101207.92</v>
      </c>
      <c r="E131" s="129">
        <v>28844.05</v>
      </c>
      <c r="F131" s="131">
        <f t="shared" si="3"/>
        <v>0.28499795272939116</v>
      </c>
      <c r="G131" s="51">
        <f t="shared" si="2"/>
        <v>72363.87</v>
      </c>
      <c r="H131" s="51"/>
    </row>
    <row r="132" spans="2:8" x14ac:dyDescent="0.25">
      <c r="B132" s="51"/>
      <c r="C132" s="130">
        <v>42156</v>
      </c>
      <c r="D132" s="129">
        <v>195957.35</v>
      </c>
      <c r="E132" s="129">
        <v>71481.289999999994</v>
      </c>
      <c r="F132" s="131">
        <f t="shared" si="3"/>
        <v>0.36477983602044012</v>
      </c>
      <c r="G132" s="51">
        <f t="shared" si="2"/>
        <v>124476.06000000001</v>
      </c>
      <c r="H132" s="51"/>
    </row>
    <row r="133" spans="2:8" x14ac:dyDescent="0.25">
      <c r="B133" s="51"/>
      <c r="C133" s="130">
        <v>42186</v>
      </c>
      <c r="D133" s="129">
        <v>253136.09</v>
      </c>
      <c r="E133" s="129">
        <v>97211.73</v>
      </c>
      <c r="F133" s="131">
        <f t="shared" si="3"/>
        <v>0.38402951550685638</v>
      </c>
      <c r="G133" s="51">
        <f t="shared" si="2"/>
        <v>155924.35999999999</v>
      </c>
      <c r="H133" s="51"/>
    </row>
    <row r="134" spans="2:8" x14ac:dyDescent="0.25">
      <c r="B134" s="51"/>
      <c r="C134" s="130">
        <v>42217</v>
      </c>
      <c r="D134" s="129">
        <v>203873.04</v>
      </c>
      <c r="E134" s="129">
        <v>74913.42</v>
      </c>
      <c r="F134" s="131">
        <f t="shared" si="3"/>
        <v>0.36745133147570663</v>
      </c>
      <c r="G134" s="51">
        <f t="shared" si="2"/>
        <v>128959.62000000001</v>
      </c>
      <c r="H134" s="51"/>
    </row>
    <row r="135" spans="2:8" x14ac:dyDescent="0.25">
      <c r="B135" s="51"/>
      <c r="C135" s="130">
        <v>42248</v>
      </c>
      <c r="D135" s="129">
        <v>157028.95000000001</v>
      </c>
      <c r="E135" s="129">
        <v>53833.58</v>
      </c>
      <c r="F135" s="131">
        <f t="shared" si="3"/>
        <v>0.34282582924995675</v>
      </c>
      <c r="G135" s="51">
        <f t="shared" si="2"/>
        <v>103195.37000000001</v>
      </c>
      <c r="H135" s="51"/>
    </row>
    <row r="136" spans="2:8" x14ac:dyDescent="0.25">
      <c r="B136" s="51"/>
      <c r="C136" s="130">
        <v>42278</v>
      </c>
      <c r="D136" s="129">
        <v>427032.44</v>
      </c>
      <c r="E136" s="129">
        <v>175335.15</v>
      </c>
      <c r="F136" s="131">
        <f t="shared" si="3"/>
        <v>0.41058976690389143</v>
      </c>
      <c r="G136" s="51">
        <f t="shared" si="2"/>
        <v>251697.29</v>
      </c>
      <c r="H136" s="51"/>
    </row>
    <row r="137" spans="2:8" x14ac:dyDescent="0.25">
      <c r="B137" s="51"/>
      <c r="C137" s="130">
        <v>42309</v>
      </c>
      <c r="D137" s="129">
        <v>99316.36</v>
      </c>
      <c r="E137" s="129">
        <v>27862.91</v>
      </c>
      <c r="F137" s="131">
        <f t="shared" si="3"/>
        <v>0.28054703172770329</v>
      </c>
      <c r="G137" s="51">
        <f t="shared" si="2"/>
        <v>71453.45</v>
      </c>
      <c r="H137" s="51"/>
    </row>
    <row r="138" spans="2:8" x14ac:dyDescent="0.25">
      <c r="B138" s="129">
        <f>SUM(D126:D138)</f>
        <v>3662156.54</v>
      </c>
      <c r="C138" s="130">
        <v>42339</v>
      </c>
      <c r="D138" s="129">
        <v>113369.19</v>
      </c>
      <c r="E138" s="129">
        <v>34186.68</v>
      </c>
      <c r="F138" s="131">
        <f t="shared" si="3"/>
        <v>0.30155177081180523</v>
      </c>
      <c r="G138" s="51">
        <f t="shared" si="2"/>
        <v>79182.510000000009</v>
      </c>
      <c r="H138" s="51"/>
    </row>
    <row r="139" spans="2:8" x14ac:dyDescent="0.25">
      <c r="B139" s="51"/>
      <c r="C139" s="130">
        <v>42370</v>
      </c>
      <c r="D139" s="129">
        <v>216311.93</v>
      </c>
      <c r="E139" s="129">
        <v>80510.92</v>
      </c>
      <c r="F139" s="131">
        <f t="shared" si="3"/>
        <v>0.37219824167811733</v>
      </c>
      <c r="G139" s="51">
        <f t="shared" si="2"/>
        <v>135801.01</v>
      </c>
      <c r="H139" s="51"/>
    </row>
    <row r="140" spans="2:8" x14ac:dyDescent="0.25">
      <c r="B140" s="51"/>
      <c r="C140" s="130">
        <v>42401</v>
      </c>
      <c r="D140" s="129">
        <v>138355.92000000001</v>
      </c>
      <c r="E140" s="129">
        <v>45430.71</v>
      </c>
      <c r="F140" s="131">
        <f t="shared" si="3"/>
        <v>0.32836115722406384</v>
      </c>
      <c r="G140" s="51">
        <f t="shared" si="2"/>
        <v>92925.210000000021</v>
      </c>
      <c r="H140" s="51"/>
    </row>
    <row r="141" spans="2:8" x14ac:dyDescent="0.25">
      <c r="B141" s="51"/>
      <c r="C141" s="130">
        <v>42430</v>
      </c>
      <c r="D141" s="129">
        <v>1670328.56</v>
      </c>
      <c r="E141" s="129">
        <v>734818.4</v>
      </c>
      <c r="F141" s="131">
        <f t="shared" si="3"/>
        <v>0.4399244661182109</v>
      </c>
      <c r="G141" s="51">
        <f t="shared" si="2"/>
        <v>935510.16</v>
      </c>
      <c r="H141" s="51"/>
    </row>
    <row r="142" spans="2:8" x14ac:dyDescent="0.25">
      <c r="B142" s="51"/>
      <c r="C142" s="130">
        <v>42461</v>
      </c>
      <c r="D142" s="129">
        <v>53123.83</v>
      </c>
      <c r="E142" s="129">
        <v>10982.56</v>
      </c>
      <c r="F142" s="131">
        <f t="shared" si="3"/>
        <v>0.2067350942128984</v>
      </c>
      <c r="G142" s="51">
        <f t="shared" si="2"/>
        <v>42141.270000000004</v>
      </c>
      <c r="H142" s="51"/>
    </row>
    <row r="143" spans="2:8" x14ac:dyDescent="0.25">
      <c r="B143" s="51"/>
      <c r="C143" s="130">
        <v>42461</v>
      </c>
      <c r="D143" s="129">
        <v>614712.57999999996</v>
      </c>
      <c r="E143" s="129">
        <v>181658.77</v>
      </c>
      <c r="F143" s="131">
        <f t="shared" si="3"/>
        <v>0.29551822414306211</v>
      </c>
      <c r="G143" s="51">
        <f t="shared" si="2"/>
        <v>433053.80999999994</v>
      </c>
      <c r="H143" s="51"/>
    </row>
    <row r="144" spans="2:8" x14ac:dyDescent="0.25">
      <c r="B144" s="51"/>
      <c r="C144" s="130">
        <v>42491</v>
      </c>
      <c r="D144" s="129">
        <v>155557.94</v>
      </c>
      <c r="E144" s="129">
        <v>53196.68</v>
      </c>
      <c r="F144" s="131">
        <f t="shared" si="3"/>
        <v>0.34197341517893592</v>
      </c>
      <c r="G144" s="51">
        <f t="shared" ref="G144:G184" si="4">D144-E144</f>
        <v>102361.26000000001</v>
      </c>
      <c r="H144" s="51"/>
    </row>
    <row r="145" spans="2:8" x14ac:dyDescent="0.25">
      <c r="B145" s="51"/>
      <c r="C145" s="130">
        <v>42522</v>
      </c>
      <c r="D145" s="129">
        <v>105136.83</v>
      </c>
      <c r="E145" s="129">
        <v>30507.18</v>
      </c>
      <c r="F145" s="131">
        <f t="shared" ref="F145:F184" si="5">E145/D145</f>
        <v>0.29016644310086198</v>
      </c>
      <c r="G145" s="51">
        <f t="shared" si="4"/>
        <v>74629.649999999994</v>
      </c>
      <c r="H145" s="51"/>
    </row>
    <row r="146" spans="2:8" x14ac:dyDescent="0.25">
      <c r="B146" s="51"/>
      <c r="C146" s="130">
        <v>42552</v>
      </c>
      <c r="D146" s="129">
        <v>106780.77</v>
      </c>
      <c r="E146" s="129">
        <v>31246.959999999999</v>
      </c>
      <c r="F146" s="131">
        <f t="shared" si="5"/>
        <v>0.29262722117474893</v>
      </c>
      <c r="G146" s="51">
        <f t="shared" si="4"/>
        <v>75533.81</v>
      </c>
      <c r="H146" s="51"/>
    </row>
    <row r="147" spans="2:8" x14ac:dyDescent="0.25">
      <c r="B147" s="51"/>
      <c r="C147" s="130">
        <v>42583</v>
      </c>
      <c r="D147" s="129">
        <v>86298.26</v>
      </c>
      <c r="E147" s="129">
        <v>22001.79</v>
      </c>
      <c r="F147" s="131">
        <f t="shared" si="5"/>
        <v>0.25495056331379107</v>
      </c>
      <c r="G147" s="51">
        <f t="shared" si="4"/>
        <v>64296.469999999994</v>
      </c>
      <c r="H147" s="51"/>
    </row>
    <row r="148" spans="2:8" x14ac:dyDescent="0.25">
      <c r="B148" s="51"/>
      <c r="C148" s="130">
        <v>42614</v>
      </c>
      <c r="D148" s="129">
        <v>639020.4</v>
      </c>
      <c r="E148" s="129">
        <v>270585.84000000003</v>
      </c>
      <c r="F148" s="131">
        <f t="shared" si="5"/>
        <v>0.42343850055491189</v>
      </c>
      <c r="G148" s="51">
        <f t="shared" si="4"/>
        <v>368434.56</v>
      </c>
      <c r="H148" s="51"/>
    </row>
    <row r="149" spans="2:8" x14ac:dyDescent="0.25">
      <c r="B149" s="51"/>
      <c r="C149" s="130">
        <v>42644</v>
      </c>
      <c r="D149" s="129">
        <v>489264.3</v>
      </c>
      <c r="E149" s="129">
        <v>203195.6</v>
      </c>
      <c r="F149" s="131">
        <f t="shared" si="5"/>
        <v>0.41530845393788185</v>
      </c>
      <c r="G149" s="51">
        <f t="shared" si="4"/>
        <v>286068.69999999995</v>
      </c>
      <c r="H149" s="51"/>
    </row>
    <row r="150" spans="2:8" x14ac:dyDescent="0.25">
      <c r="B150" s="51"/>
      <c r="C150" s="130">
        <v>42675</v>
      </c>
      <c r="D150" s="129">
        <v>78168.55</v>
      </c>
      <c r="E150" s="129">
        <v>19156.400000000001</v>
      </c>
      <c r="F150" s="131">
        <f t="shared" si="5"/>
        <v>0.24506531079315147</v>
      </c>
      <c r="G150" s="51">
        <f t="shared" si="4"/>
        <v>59012.15</v>
      </c>
      <c r="H150" s="51"/>
    </row>
    <row r="151" spans="2:8" x14ac:dyDescent="0.25">
      <c r="B151" s="129">
        <f>SUM(D139:D151)</f>
        <v>4413024.08</v>
      </c>
      <c r="C151" s="130">
        <v>42705</v>
      </c>
      <c r="D151" s="129">
        <v>59964.21</v>
      </c>
      <c r="E151" s="129">
        <v>12922.04</v>
      </c>
      <c r="F151" s="131">
        <f t="shared" si="5"/>
        <v>0.21549587662373942</v>
      </c>
      <c r="G151" s="51">
        <f t="shared" si="4"/>
        <v>47042.17</v>
      </c>
      <c r="H151" s="51"/>
    </row>
    <row r="152" spans="2:8" x14ac:dyDescent="0.25">
      <c r="B152" s="51"/>
      <c r="C152" s="130">
        <v>42736</v>
      </c>
      <c r="D152" s="129">
        <v>131747.01</v>
      </c>
      <c r="E152" s="129">
        <v>42312.82</v>
      </c>
      <c r="F152" s="131">
        <f t="shared" si="5"/>
        <v>0.32116721282706906</v>
      </c>
      <c r="G152" s="51">
        <f t="shared" si="4"/>
        <v>89434.19</v>
      </c>
      <c r="H152" s="51"/>
    </row>
    <row r="153" spans="2:8" x14ac:dyDescent="0.25">
      <c r="B153" s="51"/>
      <c r="C153" s="130">
        <v>42767</v>
      </c>
      <c r="D153" s="129">
        <v>82188.86</v>
      </c>
      <c r="E153" s="129">
        <v>20563.5</v>
      </c>
      <c r="F153" s="131">
        <f t="shared" si="5"/>
        <v>0.2501981412079447</v>
      </c>
      <c r="G153" s="51">
        <f t="shared" si="4"/>
        <v>61625.36</v>
      </c>
      <c r="H153" s="51"/>
    </row>
    <row r="154" spans="2:8" x14ac:dyDescent="0.25">
      <c r="B154" s="51"/>
      <c r="C154" s="130">
        <v>42795</v>
      </c>
      <c r="D154" s="129">
        <v>621219.16</v>
      </c>
      <c r="E154" s="129">
        <v>262575.28000000003</v>
      </c>
      <c r="F154" s="131">
        <f t="shared" si="5"/>
        <v>0.42267736880491585</v>
      </c>
      <c r="G154" s="51">
        <f t="shared" si="4"/>
        <v>358643.88</v>
      </c>
      <c r="H154" s="51"/>
    </row>
    <row r="155" spans="2:8" x14ac:dyDescent="0.25">
      <c r="B155" s="51"/>
      <c r="C155" s="130">
        <v>42795</v>
      </c>
      <c r="D155" s="129">
        <v>5213075.16</v>
      </c>
      <c r="E155" s="129">
        <v>2183823.8199999998</v>
      </c>
      <c r="F155" s="131">
        <f t="shared" si="5"/>
        <v>0.41891278237392604</v>
      </c>
      <c r="G155" s="51">
        <f t="shared" si="4"/>
        <v>3029251.3400000003</v>
      </c>
      <c r="H155" s="51"/>
    </row>
    <row r="156" spans="2:8" x14ac:dyDescent="0.25">
      <c r="B156" s="51"/>
      <c r="C156" s="130">
        <v>42826</v>
      </c>
      <c r="D156" s="129">
        <v>1053754.6200000001</v>
      </c>
      <c r="E156" s="129">
        <v>457216.24</v>
      </c>
      <c r="F156" s="131">
        <f t="shared" si="5"/>
        <v>0.433892512850857</v>
      </c>
      <c r="G156" s="51">
        <f t="shared" si="4"/>
        <v>596538.38000000012</v>
      </c>
      <c r="H156" s="51"/>
    </row>
    <row r="157" spans="2:8" x14ac:dyDescent="0.25">
      <c r="B157" s="51"/>
      <c r="C157" s="130">
        <v>42826</v>
      </c>
      <c r="D157" s="129">
        <v>660000</v>
      </c>
      <c r="E157" s="129">
        <v>195245</v>
      </c>
      <c r="F157" s="131">
        <f t="shared" si="5"/>
        <v>0.29582575757575758</v>
      </c>
      <c r="G157" s="51">
        <f t="shared" si="4"/>
        <v>464755</v>
      </c>
      <c r="H157" s="51"/>
    </row>
    <row r="158" spans="2:8" x14ac:dyDescent="0.25">
      <c r="B158" s="51"/>
      <c r="C158" s="130">
        <v>42856</v>
      </c>
      <c r="D158" s="129">
        <v>297805.67</v>
      </c>
      <c r="E158" s="129">
        <v>117039.21</v>
      </c>
      <c r="F158" s="131">
        <f t="shared" si="5"/>
        <v>0.39300531114803827</v>
      </c>
      <c r="G158" s="51">
        <f t="shared" si="4"/>
        <v>180766.45999999996</v>
      </c>
      <c r="H158" s="51"/>
    </row>
    <row r="159" spans="2:8" x14ac:dyDescent="0.25">
      <c r="B159" s="51"/>
      <c r="C159" s="130">
        <v>42887</v>
      </c>
      <c r="D159" s="129">
        <v>120708.09</v>
      </c>
      <c r="E159" s="129">
        <v>37345.300000000003</v>
      </c>
      <c r="F159" s="131">
        <f t="shared" si="5"/>
        <v>0.30938522844657723</v>
      </c>
      <c r="G159" s="51">
        <f t="shared" si="4"/>
        <v>83362.789999999994</v>
      </c>
      <c r="H159" s="51"/>
    </row>
    <row r="160" spans="2:8" x14ac:dyDescent="0.25">
      <c r="B160" s="51"/>
      <c r="C160" s="130">
        <v>42917</v>
      </c>
      <c r="D160" s="129">
        <v>174258.47</v>
      </c>
      <c r="E160" s="129">
        <v>61442.97</v>
      </c>
      <c r="F160" s="131">
        <f t="shared" si="5"/>
        <v>0.35259674895573223</v>
      </c>
      <c r="G160" s="51">
        <f t="shared" si="4"/>
        <v>112815.5</v>
      </c>
      <c r="H160" s="51"/>
    </row>
    <row r="161" spans="2:8" x14ac:dyDescent="0.25">
      <c r="B161" s="51"/>
      <c r="C161" s="130">
        <v>42948</v>
      </c>
      <c r="D161" s="129">
        <v>122644.63</v>
      </c>
      <c r="E161" s="129">
        <v>38031.040000000001</v>
      </c>
      <c r="F161" s="131">
        <f t="shared" si="5"/>
        <v>0.31009135907540347</v>
      </c>
      <c r="G161" s="51">
        <f t="shared" si="4"/>
        <v>84613.59</v>
      </c>
      <c r="H161" s="51"/>
    </row>
    <row r="162" spans="2:8" x14ac:dyDescent="0.25">
      <c r="B162" s="51"/>
      <c r="C162" s="130">
        <v>42979</v>
      </c>
      <c r="D162" s="129">
        <v>128211.1</v>
      </c>
      <c r="E162" s="129">
        <v>40535.949999999997</v>
      </c>
      <c r="F162" s="131">
        <f t="shared" si="5"/>
        <v>0.31616568300248571</v>
      </c>
      <c r="G162" s="51">
        <f t="shared" si="4"/>
        <v>87675.150000000009</v>
      </c>
      <c r="H162" s="51"/>
    </row>
    <row r="163" spans="2:8" x14ac:dyDescent="0.25">
      <c r="B163" s="51"/>
      <c r="C163" s="130">
        <v>42979</v>
      </c>
      <c r="D163" s="129">
        <v>1033556.93</v>
      </c>
      <c r="E163" s="129">
        <v>303040.62</v>
      </c>
      <c r="F163" s="131">
        <f t="shared" si="5"/>
        <v>0.29320167201626712</v>
      </c>
      <c r="G163" s="51">
        <f t="shared" si="4"/>
        <v>730516.31</v>
      </c>
      <c r="H163" s="51"/>
    </row>
    <row r="164" spans="2:8" x14ac:dyDescent="0.25">
      <c r="B164" s="51"/>
      <c r="C164" s="130">
        <v>43009</v>
      </c>
      <c r="D164" s="129">
        <v>300000</v>
      </c>
      <c r="E164" s="129">
        <v>60000</v>
      </c>
      <c r="F164" s="131">
        <f t="shared" si="5"/>
        <v>0.2</v>
      </c>
      <c r="G164" s="51">
        <f t="shared" si="4"/>
        <v>240000</v>
      </c>
      <c r="H164" s="51" t="s">
        <v>1090</v>
      </c>
    </row>
    <row r="165" spans="2:8" x14ac:dyDescent="0.25">
      <c r="B165" s="51"/>
      <c r="C165" s="130">
        <v>43009</v>
      </c>
      <c r="D165" s="129">
        <v>1128061.24</v>
      </c>
      <c r="E165" s="129">
        <v>490468.52</v>
      </c>
      <c r="F165" s="131">
        <f t="shared" si="5"/>
        <v>0.43478891270122888</v>
      </c>
      <c r="G165" s="51">
        <f t="shared" si="4"/>
        <v>637592.72</v>
      </c>
      <c r="H165" s="51"/>
    </row>
    <row r="166" spans="2:8" x14ac:dyDescent="0.25">
      <c r="B166" s="51"/>
      <c r="C166" s="130">
        <v>43040</v>
      </c>
      <c r="D166" s="129">
        <v>96391.75</v>
      </c>
      <c r="E166" s="129">
        <v>26217.25</v>
      </c>
      <c r="F166" s="131">
        <f t="shared" si="5"/>
        <v>0.27198645112263237</v>
      </c>
      <c r="G166" s="51">
        <f t="shared" si="4"/>
        <v>70174.5</v>
      </c>
      <c r="H166" s="51"/>
    </row>
    <row r="167" spans="2:8" x14ac:dyDescent="0.25">
      <c r="B167" s="129">
        <f>SUM(D152:D167)</f>
        <v>11261426.52</v>
      </c>
      <c r="C167" s="130">
        <v>43070</v>
      </c>
      <c r="D167" s="129">
        <v>97803.83</v>
      </c>
      <c r="E167" s="129">
        <v>26852.68</v>
      </c>
      <c r="F167" s="131">
        <f t="shared" si="5"/>
        <v>0.27455652810324505</v>
      </c>
      <c r="G167" s="51">
        <f t="shared" si="4"/>
        <v>70951.149999999994</v>
      </c>
      <c r="H167" s="51"/>
    </row>
    <row r="168" spans="2:8" x14ac:dyDescent="0.25">
      <c r="B168" s="51"/>
      <c r="C168" s="130">
        <v>43101</v>
      </c>
      <c r="D168" s="129">
        <v>151565.47</v>
      </c>
      <c r="E168" s="129">
        <v>51045.42</v>
      </c>
      <c r="F168" s="131">
        <f t="shared" si="5"/>
        <v>0.33678792405684488</v>
      </c>
      <c r="G168" s="51">
        <f t="shared" si="4"/>
        <v>100520.05</v>
      </c>
      <c r="H168" s="51"/>
    </row>
    <row r="169" spans="2:8" x14ac:dyDescent="0.25">
      <c r="B169" s="51"/>
      <c r="C169" s="130">
        <v>43132</v>
      </c>
      <c r="D169" s="129">
        <v>102595.94</v>
      </c>
      <c r="E169" s="129">
        <v>29009.13</v>
      </c>
      <c r="F169" s="131">
        <f t="shared" si="5"/>
        <v>0.28275124727157819</v>
      </c>
      <c r="G169" s="51">
        <f t="shared" si="4"/>
        <v>73586.81</v>
      </c>
      <c r="H169" s="51"/>
    </row>
    <row r="170" spans="2:8" x14ac:dyDescent="0.25">
      <c r="B170" s="51"/>
      <c r="C170" s="130">
        <v>43160</v>
      </c>
      <c r="D170" s="129">
        <v>315529.01</v>
      </c>
      <c r="E170" s="129">
        <v>124829.01</v>
      </c>
      <c r="F170" s="131">
        <f t="shared" si="5"/>
        <v>0.39561817152723927</v>
      </c>
      <c r="G170" s="51">
        <f t="shared" si="4"/>
        <v>190700</v>
      </c>
      <c r="H170" s="51"/>
    </row>
    <row r="171" spans="2:8" x14ac:dyDescent="0.25">
      <c r="B171" s="51"/>
      <c r="C171" s="130">
        <v>43160</v>
      </c>
      <c r="D171" s="129">
        <v>4294816.91</v>
      </c>
      <c r="E171" s="129">
        <v>1770607.61</v>
      </c>
      <c r="F171" s="131">
        <f t="shared" si="5"/>
        <v>0.41226614477495854</v>
      </c>
      <c r="G171" s="51">
        <f t="shared" si="4"/>
        <v>2524209.2999999998</v>
      </c>
      <c r="H171" s="51"/>
    </row>
    <row r="172" spans="2:8" x14ac:dyDescent="0.25">
      <c r="B172" s="51"/>
      <c r="C172" s="130">
        <v>43191</v>
      </c>
      <c r="D172" s="129">
        <v>1543610.63</v>
      </c>
      <c r="E172" s="129">
        <v>677465.74</v>
      </c>
      <c r="F172" s="131">
        <f t="shared" si="5"/>
        <v>0.43888382655151842</v>
      </c>
      <c r="G172" s="51">
        <f t="shared" si="4"/>
        <v>866144.8899999999</v>
      </c>
      <c r="H172" s="51"/>
    </row>
    <row r="173" spans="2:8" x14ac:dyDescent="0.25">
      <c r="B173" s="51"/>
      <c r="C173" s="130">
        <v>43191</v>
      </c>
      <c r="D173" s="129">
        <v>660000</v>
      </c>
      <c r="E173" s="129">
        <v>195245</v>
      </c>
      <c r="F173" s="131">
        <f t="shared" si="5"/>
        <v>0.29582575757575758</v>
      </c>
      <c r="G173" s="51">
        <f t="shared" si="4"/>
        <v>464755</v>
      </c>
      <c r="H173" s="51"/>
    </row>
    <row r="174" spans="2:8" x14ac:dyDescent="0.25">
      <c r="B174" s="51"/>
      <c r="C174" s="130">
        <v>43221</v>
      </c>
      <c r="D174" s="129">
        <v>287519.3</v>
      </c>
      <c r="E174" s="51">
        <v>112224.64</v>
      </c>
      <c r="F174" s="131">
        <f t="shared" si="5"/>
        <v>0.39032037153679772</v>
      </c>
      <c r="G174" s="51">
        <f t="shared" si="4"/>
        <v>175294.65999999997</v>
      </c>
      <c r="H174" s="51"/>
    </row>
    <row r="175" spans="2:8" x14ac:dyDescent="0.25">
      <c r="B175" s="51"/>
      <c r="C175" s="130">
        <v>43252</v>
      </c>
      <c r="D175" s="129">
        <v>185765.13</v>
      </c>
      <c r="E175" s="51">
        <v>66435.27</v>
      </c>
      <c r="F175" s="131">
        <f t="shared" si="5"/>
        <v>0.35763046595450937</v>
      </c>
      <c r="G175" s="51">
        <f t="shared" si="4"/>
        <v>119329.86</v>
      </c>
      <c r="H175" s="51"/>
    </row>
    <row r="176" spans="2:8" x14ac:dyDescent="0.25">
      <c r="B176" s="51"/>
      <c r="C176" s="130">
        <v>43282</v>
      </c>
      <c r="D176" s="129">
        <v>349339.73</v>
      </c>
      <c r="E176" s="51">
        <v>140043.84</v>
      </c>
      <c r="F176" s="131">
        <f t="shared" si="5"/>
        <v>0.40088151439288056</v>
      </c>
      <c r="G176" s="51">
        <f t="shared" si="4"/>
        <v>209295.88999999998</v>
      </c>
      <c r="H176" s="51"/>
    </row>
    <row r="177" spans="2:8" x14ac:dyDescent="0.25">
      <c r="B177" s="51"/>
      <c r="C177" s="130">
        <v>43313</v>
      </c>
      <c r="D177" s="129">
        <v>272380.57</v>
      </c>
      <c r="E177" s="51">
        <v>105195.94</v>
      </c>
      <c r="F177" s="131">
        <f t="shared" si="5"/>
        <v>0.38620941280796939</v>
      </c>
      <c r="G177" s="51">
        <f t="shared" si="4"/>
        <v>167184.63</v>
      </c>
      <c r="H177" s="51"/>
    </row>
    <row r="178" spans="2:8" x14ac:dyDescent="0.25">
      <c r="B178" s="51"/>
      <c r="C178" s="130">
        <v>43344</v>
      </c>
      <c r="D178" s="129">
        <v>1007897</v>
      </c>
      <c r="E178" s="51">
        <v>229514.51</v>
      </c>
      <c r="F178" s="131">
        <f t="shared" si="5"/>
        <v>0.2277162348930496</v>
      </c>
      <c r="G178" s="51">
        <f t="shared" si="4"/>
        <v>778382.49</v>
      </c>
      <c r="H178" s="51"/>
    </row>
    <row r="179" spans="2:8" x14ac:dyDescent="0.25">
      <c r="B179" s="51"/>
      <c r="C179" s="130">
        <v>43344</v>
      </c>
      <c r="D179" s="129">
        <v>212030.53</v>
      </c>
      <c r="E179" s="129">
        <v>78038.42</v>
      </c>
      <c r="F179" s="131">
        <f t="shared" si="5"/>
        <v>0.36805275164854795</v>
      </c>
      <c r="G179" s="51">
        <f t="shared" si="4"/>
        <v>133992.10999999999</v>
      </c>
      <c r="H179" s="51"/>
    </row>
    <row r="180" spans="2:8" x14ac:dyDescent="0.25">
      <c r="B180" s="51"/>
      <c r="C180" s="130">
        <v>43344</v>
      </c>
      <c r="D180" s="129">
        <v>373167.05</v>
      </c>
      <c r="E180" s="129">
        <v>74633.41</v>
      </c>
      <c r="F180" s="131">
        <f t="shared" si="5"/>
        <v>0.2</v>
      </c>
      <c r="G180" s="51">
        <f t="shared" si="4"/>
        <v>298533.64</v>
      </c>
      <c r="H180" s="51"/>
    </row>
    <row r="181" spans="2:8" x14ac:dyDescent="0.25">
      <c r="B181" s="51"/>
      <c r="C181" s="130">
        <v>43374</v>
      </c>
      <c r="D181" s="129">
        <v>1633007.53</v>
      </c>
      <c r="E181" s="129">
        <v>715148.07</v>
      </c>
      <c r="F181" s="131">
        <f t="shared" si="5"/>
        <v>0.4379331122863836</v>
      </c>
      <c r="G181" s="51">
        <f t="shared" si="4"/>
        <v>917859.46000000008</v>
      </c>
      <c r="H181" s="51"/>
    </row>
    <row r="182" spans="2:8" x14ac:dyDescent="0.25">
      <c r="B182" s="51"/>
      <c r="C182" s="130">
        <v>43405</v>
      </c>
      <c r="D182" s="129">
        <v>306948.71999999997</v>
      </c>
      <c r="E182" s="129">
        <v>118421.6</v>
      </c>
      <c r="F182" s="131">
        <f t="shared" si="5"/>
        <v>0.38580255359918103</v>
      </c>
      <c r="G182" s="51">
        <f t="shared" si="4"/>
        <v>188527.11999999997</v>
      </c>
      <c r="H182" s="51"/>
    </row>
    <row r="183" spans="2:8" x14ac:dyDescent="0.25">
      <c r="B183" s="129">
        <f>SUM(D168:D183)</f>
        <v>11933093.209999999</v>
      </c>
      <c r="C183" s="130">
        <v>43435</v>
      </c>
      <c r="D183" s="129">
        <v>236919.69</v>
      </c>
      <c r="E183" s="129">
        <v>86908.54</v>
      </c>
      <c r="F183" s="131">
        <f t="shared" si="5"/>
        <v>0.36682700369901711</v>
      </c>
      <c r="G183" s="51">
        <f t="shared" si="4"/>
        <v>150011.15000000002</v>
      </c>
      <c r="H183" s="51"/>
    </row>
    <row r="184" spans="2:8" x14ac:dyDescent="0.25">
      <c r="B184" s="51"/>
      <c r="C184" s="130">
        <v>43466</v>
      </c>
      <c r="D184" s="129"/>
      <c r="E184" s="129"/>
      <c r="F184" s="131" t="e">
        <f t="shared" si="5"/>
        <v>#DIV/0!</v>
      </c>
      <c r="G184" s="51">
        <f t="shared" si="4"/>
        <v>0</v>
      </c>
      <c r="H184" s="51"/>
    </row>
  </sheetData>
  <phoneticPr fontId="3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K39"/>
  <sheetViews>
    <sheetView workbookViewId="0">
      <selection activeCell="B39" sqref="B39"/>
    </sheetView>
  </sheetViews>
  <sheetFormatPr defaultRowHeight="15.6" x14ac:dyDescent="0.25"/>
  <cols>
    <col min="1" max="1" width="10.19921875" customWidth="1"/>
    <col min="2" max="2" width="10.3984375" customWidth="1"/>
    <col min="7" max="7" width="10.5" bestFit="1" customWidth="1"/>
    <col min="8" max="8" width="13.8984375" bestFit="1" customWidth="1"/>
    <col min="9" max="9" width="5.8984375" customWidth="1"/>
    <col min="10" max="10" width="5.5" customWidth="1"/>
  </cols>
  <sheetData>
    <row r="1" spans="1:11" x14ac:dyDescent="0.25">
      <c r="A1" s="24"/>
      <c r="B1" s="133" t="s">
        <v>1095</v>
      </c>
      <c r="C1" s="133" t="s">
        <v>1096</v>
      </c>
      <c r="K1" s="88"/>
    </row>
    <row r="2" spans="1:11" x14ac:dyDescent="0.25">
      <c r="A2" s="133" t="s">
        <v>1094</v>
      </c>
      <c r="B2" s="24">
        <v>200000</v>
      </c>
      <c r="C2" s="24">
        <v>2640</v>
      </c>
      <c r="G2" s="136"/>
      <c r="H2" s="137"/>
    </row>
    <row r="3" spans="1:11" x14ac:dyDescent="0.25">
      <c r="A3" s="133" t="s">
        <v>1097</v>
      </c>
      <c r="B3" s="24">
        <v>200000</v>
      </c>
      <c r="C3" s="24">
        <v>2640</v>
      </c>
      <c r="H3" s="137"/>
    </row>
    <row r="4" spans="1:11" x14ac:dyDescent="0.25">
      <c r="A4" s="133" t="s">
        <v>1098</v>
      </c>
      <c r="B4" s="24">
        <v>200000</v>
      </c>
      <c r="C4" s="24">
        <v>2640</v>
      </c>
      <c r="H4" s="137"/>
    </row>
    <row r="5" spans="1:11" x14ac:dyDescent="0.25">
      <c r="A5" s="133" t="s">
        <v>1099</v>
      </c>
      <c r="B5" s="24">
        <v>200000</v>
      </c>
      <c r="C5" s="24">
        <v>2530</v>
      </c>
    </row>
    <row r="6" spans="1:11" x14ac:dyDescent="0.25">
      <c r="A6" s="133" t="s">
        <v>1100</v>
      </c>
      <c r="B6" s="24">
        <v>10000</v>
      </c>
      <c r="C6" s="24">
        <v>3190</v>
      </c>
    </row>
    <row r="7" spans="1:11" x14ac:dyDescent="0.25">
      <c r="A7" s="133" t="s">
        <v>1101</v>
      </c>
      <c r="B7" s="24">
        <v>5000</v>
      </c>
      <c r="C7" s="24">
        <v>1540</v>
      </c>
    </row>
    <row r="8" spans="1:11" x14ac:dyDescent="0.25">
      <c r="A8" s="133" t="s">
        <v>1102</v>
      </c>
      <c r="B8" s="24">
        <v>5000</v>
      </c>
      <c r="C8" s="24">
        <v>0</v>
      </c>
    </row>
    <row r="9" spans="1:11" x14ac:dyDescent="0.25">
      <c r="A9" s="133" t="s">
        <v>1103</v>
      </c>
      <c r="B9" s="24">
        <v>80000</v>
      </c>
      <c r="C9" s="24">
        <v>3410</v>
      </c>
    </row>
    <row r="10" spans="1:11" x14ac:dyDescent="0.25">
      <c r="A10" s="134" t="s">
        <v>1104</v>
      </c>
      <c r="B10" s="135">
        <v>5000</v>
      </c>
      <c r="C10" s="135">
        <v>0</v>
      </c>
    </row>
    <row r="11" spans="1:11" x14ac:dyDescent="0.25">
      <c r="A11" s="134" t="s">
        <v>1105</v>
      </c>
      <c r="B11" s="135">
        <v>130000</v>
      </c>
      <c r="C11" s="135">
        <v>0</v>
      </c>
    </row>
    <row r="12" spans="1:11" x14ac:dyDescent="0.25">
      <c r="A12" s="134" t="s">
        <v>1106</v>
      </c>
      <c r="B12" s="135">
        <v>15000</v>
      </c>
      <c r="C12" s="135">
        <v>3080</v>
      </c>
    </row>
    <row r="13" spans="1:11" x14ac:dyDescent="0.25">
      <c r="A13" s="134" t="s">
        <v>1107</v>
      </c>
      <c r="B13" s="135">
        <v>25000</v>
      </c>
      <c r="C13" s="135">
        <v>0</v>
      </c>
    </row>
    <row r="14" spans="1:11" x14ac:dyDescent="0.25">
      <c r="A14" s="134" t="s">
        <v>1108</v>
      </c>
      <c r="B14" s="135">
        <v>30000</v>
      </c>
      <c r="C14" s="135">
        <v>0</v>
      </c>
    </row>
    <row r="15" spans="1:11" x14ac:dyDescent="0.25">
      <c r="A15" s="134" t="s">
        <v>1109</v>
      </c>
      <c r="B15" s="135">
        <v>30000</v>
      </c>
      <c r="C15" s="135">
        <v>2090</v>
      </c>
    </row>
    <row r="16" spans="1:11" x14ac:dyDescent="0.25">
      <c r="A16" s="134" t="s">
        <v>1110</v>
      </c>
      <c r="B16" s="135">
        <v>30000</v>
      </c>
      <c r="C16" s="135">
        <v>0</v>
      </c>
    </row>
    <row r="17" spans="1:3" x14ac:dyDescent="0.25">
      <c r="A17" s="134" t="s">
        <v>1111</v>
      </c>
      <c r="B17" s="135">
        <v>210000</v>
      </c>
      <c r="C17" s="135">
        <v>6930</v>
      </c>
    </row>
    <row r="18" spans="1:3" x14ac:dyDescent="0.25">
      <c r="A18" s="134" t="s">
        <v>1112</v>
      </c>
      <c r="B18" s="135">
        <v>100000</v>
      </c>
      <c r="C18" s="135">
        <v>2090</v>
      </c>
    </row>
    <row r="19" spans="1:3" x14ac:dyDescent="0.25">
      <c r="A19" s="134" t="s">
        <v>1113</v>
      </c>
      <c r="B19" s="135">
        <v>130000</v>
      </c>
      <c r="C19" s="135">
        <v>4510</v>
      </c>
    </row>
    <row r="20" spans="1:3" x14ac:dyDescent="0.25">
      <c r="A20" s="134" t="s">
        <v>1114</v>
      </c>
      <c r="B20" s="135">
        <v>160000</v>
      </c>
      <c r="C20" s="135">
        <v>0</v>
      </c>
    </row>
    <row r="21" spans="1:3" x14ac:dyDescent="0.25">
      <c r="A21" s="134" t="s">
        <v>1115</v>
      </c>
      <c r="B21" s="135">
        <v>30000</v>
      </c>
      <c r="C21" s="135">
        <v>0</v>
      </c>
    </row>
    <row r="22" spans="1:3" x14ac:dyDescent="0.25">
      <c r="A22" s="134" t="s">
        <v>1116</v>
      </c>
      <c r="B22" s="135">
        <v>130000</v>
      </c>
      <c r="C22" s="135">
        <v>0</v>
      </c>
    </row>
    <row r="23" spans="1:3" x14ac:dyDescent="0.25">
      <c r="A23" s="134" t="s">
        <v>1117</v>
      </c>
      <c r="B23" s="135">
        <v>10000</v>
      </c>
      <c r="C23" s="135">
        <v>5940</v>
      </c>
    </row>
    <row r="24" spans="1:3" x14ac:dyDescent="0.25">
      <c r="A24" s="134" t="s">
        <v>1118</v>
      </c>
      <c r="B24" s="135">
        <v>10000</v>
      </c>
      <c r="C24" s="135">
        <v>0</v>
      </c>
    </row>
    <row r="25" spans="1:3" x14ac:dyDescent="0.25">
      <c r="A25" s="134" t="s">
        <v>1119</v>
      </c>
      <c r="B25" s="135">
        <v>2800000</v>
      </c>
      <c r="C25" s="135">
        <v>5500</v>
      </c>
    </row>
    <row r="26" spans="1:3" x14ac:dyDescent="0.25">
      <c r="A26" s="134" t="s">
        <v>1120</v>
      </c>
      <c r="B26" s="135">
        <v>10000</v>
      </c>
      <c r="C26" s="135">
        <v>2750</v>
      </c>
    </row>
    <row r="27" spans="1:3" x14ac:dyDescent="0.25">
      <c r="A27" s="134" t="s">
        <v>1121</v>
      </c>
      <c r="B27" s="135">
        <v>80000</v>
      </c>
      <c r="C27" s="135">
        <v>0</v>
      </c>
    </row>
    <row r="28" spans="1:3" x14ac:dyDescent="0.25">
      <c r="A28" s="134" t="s">
        <v>1122</v>
      </c>
      <c r="B28" s="135">
        <v>15000</v>
      </c>
      <c r="C28" s="135">
        <v>0</v>
      </c>
    </row>
    <row r="29" spans="1:3" x14ac:dyDescent="0.25">
      <c r="A29" s="134" t="s">
        <v>1123</v>
      </c>
      <c r="B29" s="135">
        <v>250000</v>
      </c>
      <c r="C29" s="135">
        <v>2310</v>
      </c>
    </row>
    <row r="30" spans="1:3" x14ac:dyDescent="0.25">
      <c r="A30" s="134" t="s">
        <v>1124</v>
      </c>
      <c r="B30" s="135">
        <v>210000</v>
      </c>
      <c r="C30" s="135">
        <v>7370</v>
      </c>
    </row>
    <row r="31" spans="1:3" x14ac:dyDescent="0.25">
      <c r="A31" s="134" t="s">
        <v>1125</v>
      </c>
      <c r="B31" s="135">
        <v>50000</v>
      </c>
      <c r="C31" s="135">
        <v>0</v>
      </c>
    </row>
    <row r="32" spans="1:3" x14ac:dyDescent="0.25">
      <c r="A32" s="134" t="s">
        <v>1126</v>
      </c>
      <c r="B32" s="135">
        <v>150000</v>
      </c>
      <c r="C32" s="135">
        <v>0</v>
      </c>
    </row>
    <row r="33" spans="1:3" x14ac:dyDescent="0.25">
      <c r="A33" s="134" t="s">
        <v>1127</v>
      </c>
      <c r="B33" s="135">
        <v>220000</v>
      </c>
      <c r="C33" s="135">
        <v>2970</v>
      </c>
    </row>
    <row r="34" spans="1:3" x14ac:dyDescent="0.25">
      <c r="A34" s="134" t="s">
        <v>1128</v>
      </c>
      <c r="B34" s="135">
        <v>20000</v>
      </c>
      <c r="C34" s="135">
        <v>6050</v>
      </c>
    </row>
    <row r="35" spans="1:3" x14ac:dyDescent="0.25">
      <c r="A35" s="134" t="s">
        <v>1129</v>
      </c>
      <c r="B35" s="135">
        <v>30000</v>
      </c>
      <c r="C35" s="135">
        <v>0</v>
      </c>
    </row>
    <row r="36" spans="1:3" x14ac:dyDescent="0.25">
      <c r="A36" s="134" t="s">
        <v>1130</v>
      </c>
      <c r="B36" s="135">
        <v>4350000</v>
      </c>
      <c r="C36" s="135">
        <v>37400</v>
      </c>
    </row>
    <row r="37" spans="1:3" x14ac:dyDescent="0.25">
      <c r="A37" s="134" t="s">
        <v>1131</v>
      </c>
      <c r="B37" s="135">
        <v>30000</v>
      </c>
      <c r="C37" s="135">
        <v>0</v>
      </c>
    </row>
    <row r="38" spans="1:3" x14ac:dyDescent="0.25">
      <c r="A38" s="134" t="s">
        <v>1132</v>
      </c>
      <c r="B38" s="135">
        <v>110000</v>
      </c>
      <c r="C38" s="135">
        <v>4070</v>
      </c>
    </row>
    <row r="39" spans="1:3" x14ac:dyDescent="0.25">
      <c r="A39" s="134" t="s">
        <v>1133</v>
      </c>
      <c r="B39">
        <f>10620000*0.8</f>
        <v>8496000</v>
      </c>
    </row>
  </sheetData>
  <phoneticPr fontId="52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股价更新</vt:lpstr>
      <vt:lpstr>周期+估值</vt:lpstr>
      <vt:lpstr>Nasdaq History</vt:lpstr>
      <vt:lpstr>ShangHaiA</vt:lpstr>
      <vt:lpstr>HK</vt:lpstr>
      <vt:lpstr>国金_郑</vt:lpstr>
      <vt:lpstr>国金_爸</vt:lpstr>
      <vt:lpstr>国金打新_理财_华西期货</vt:lpstr>
      <vt:lpstr>华宝证券</vt:lpstr>
      <vt:lpstr>广发证券</vt:lpstr>
      <vt:lpstr>盈透证券</vt:lpstr>
      <vt:lpstr>华宝LTS</vt:lpstr>
      <vt:lpstr>养老定投</vt:lpstr>
      <vt:lpstr>股票池查询</vt:lpstr>
      <vt:lpstr>资金历史</vt:lpstr>
      <vt:lpstr>工资历史</vt:lpstr>
      <vt:lpstr>纳税清单</vt:lpstr>
      <vt:lpstr>交易量信息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2020-07-02T14:30:46Z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