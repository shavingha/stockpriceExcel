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stockpriceExcel\"/>
    </mc:Choice>
  </mc:AlternateContent>
  <xr:revisionPtr revIDLastSave="0" documentId="13_ncr:1_{F9AB24A5-0AA1-40B6-9D7E-FD9A0386995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夏述维 - 个人视图" guid="{1E41C6D1-1FF2-4EDC-93A7-39FD0856DDAE}" mergeInterval="0" personalView="1" maximized="1" windowWidth="1916" windowHeight="836" activeSheetId="16"/>
    <customWorkbookView name="admin - 个人视图" guid="{2C754312-9D31-43A1-8D1D-F4080D321E7F}" mergeInterval="0" personalView="1" maximized="1" xWindow="1" yWindow="1" windowWidth="1920" windowHeight="83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5" i="1"/>
  <c r="D6" i="1"/>
  <c r="C6" i="1"/>
  <c r="C7" i="1"/>
  <c r="D7" i="1"/>
  <c r="C5" i="1"/>
  <c r="D4" i="1"/>
  <c r="C4" i="1"/>
  <c r="D3" i="1"/>
  <c r="C3" i="1"/>
</calcChain>
</file>

<file path=xl/sharedStrings.xml><?xml version="1.0" encoding="utf-8"?>
<sst xmlns="http://schemas.openxmlformats.org/spreadsheetml/2006/main" count="23" uniqueCount="23">
  <si>
    <t>代码</t>
    <phoneticPr fontId="1" type="noConversion"/>
  </si>
  <si>
    <t>sz000001</t>
    <phoneticPr fontId="1" type="noConversion"/>
  </si>
  <si>
    <t>单价</t>
    <phoneticPr fontId="1" type="noConversion"/>
  </si>
  <si>
    <t>hk01918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</si>
  <si>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</si>
  <si>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</si>
  <si>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</si>
  <si>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</si>
  <si>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</si>
  <si>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</si>
  <si>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港币换美元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</si>
  <si>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</si>
  <si>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</si>
  <si>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</si>
  <si>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</si>
  <si>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</si>
  <si>
    <t>M0</t>
    <phoneticPr fontId="1" type="noConversion"/>
  </si>
  <si>
    <t>2022.02.10</t>
    <phoneticPr fontId="1" type="noConversion"/>
  </si>
  <si>
    <t>支持期货数据</t>
    <phoneticPr fontId="1" type="noConversion"/>
  </si>
  <si>
    <t>TODO：对于大量数据的应用，应该整合所有的代码一次性发到新浪接口。 最好是用多线程，不用卡主线程。</t>
    <phoneticPr fontId="1" type="noConversion"/>
  </si>
  <si>
    <t>64位office 365上面Json数据解析会有问题，因为无法创建js对象。 需要自己手写json解释程序，后面有空再修正了。</t>
    <phoneticPr fontId="1" type="noConversion"/>
  </si>
  <si>
    <t>2022.02.13</t>
    <phoneticPr fontId="1" type="noConversion"/>
  </si>
  <si>
    <t>Json数据解析改用reg匹配，简单点。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</si>
</sst>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0" fontId="20" fillId="33" borderId="1" xfId="0" applyFont="1" applyFill="1" applyBorder="1">
      <alignment vertical="center"/>
    </xf>
    <xf numFmtId="178" fontId="20" fillId="13" borderId="1" xfId="0" applyNumberFormat="1" applyFont="1" applyFill="1" applyBorder="1" applyAlignment="1">
      <alignment vertical="center"/>
    </xf>
    <xf numFmtId="178" fontId="20" fillId="10" borderId="1" xfId="0" applyNumberFormat="1" applyFont="1" applyFill="1" applyBorder="1" applyAlignment="1">
      <alignment vertical="center"/>
    </xf>
    <xf numFmtId="178" fontId="20" fillId="18" borderId="1" xfId="0" applyNumberFormat="1" applyFont="1" applyFill="1" applyBorder="1" applyAlignment="1">
      <alignment vertical="center"/>
    </xf>
    <xf numFmtId="0" fontId="20" fillId="33" borderId="1" xfId="0" applyFont="1" applyFill="1" applyBorder="1" applyAlignment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F10" sqref="F10"/>
    </sheetView>
  </sheetViews>
  <sheetFormatPr defaultRowHeight="17.399999999999999" x14ac:dyDescent="0.25"/>
  <cols>
    <col min="1" max="1" width="8.796875" style="1"/>
    <col min="2" max="3" width="11.59765625" style="1" customWidth="1"/>
    <col min="4" max="4" width="13.796875" style="9" customWidth="1"/>
    <col min="5" max="5" width="11.296875" style="1" customWidth="1"/>
    <col min="6" max="6" width="11" style="1" customWidth="1"/>
    <col min="7" max="7" width="11.59765625" style="6" customWidth="1"/>
    <col min="8" max="8" width="11.59765625" style="1" customWidth="1"/>
    <col min="9" max="9" width="11.69921875" style="1" bestFit="1" customWidth="1"/>
    <col min="10" max="10" width="9.59765625" style="1" customWidth="1"/>
    <col min="11" max="11" width="12.5" style="1" customWidth="1"/>
    <col min="12" max="12" width="10" style="2" bestFit="1" customWidth="1"/>
    <col min="13" max="13" width="9.3984375" style="1" customWidth="1"/>
    <col min="14" max="14" width="10.19921875" style="2" customWidth="1"/>
    <col min="15" max="15" width="10.296875" style="1" bestFit="1" customWidth="1"/>
    <col min="16" max="16" width="10" style="1" customWidth="1"/>
    <col min="17" max="17" width="9" style="1" customWidth="1"/>
    <col min="18" max="18" width="11.09765625" style="1" bestFit="1" customWidth="1"/>
    <col min="19" max="19" width="8.8984375" style="1" bestFit="1" customWidth="1"/>
    <col min="20" max="16384" width="8.796875" style="1"/>
  </cols>
  <sheetData>
    <row r="2" spans="2:15" x14ac:dyDescent="0.25">
      <c r="B2" s="3" t="s">
        <v>0</v>
      </c>
      <c r="C2" s="3"/>
      <c r="D2" s="8" t="s">
        <v>2</v>
      </c>
      <c r="G2" s="1"/>
      <c r="H2" s="6"/>
      <c r="L2" s="1"/>
      <c r="M2" s="2"/>
      <c r="N2" s="1"/>
      <c r="O2" s="2"/>
    </row>
    <row r="3" spans="2:15" x14ac:dyDescent="0.25">
      <c r="B3" s="5" t="s">
        <v>4</v>
      </c>
      <c r="C3" s="5" t="str">
        <f>getStockName(B3)</f>
        <v>贵州茅台</v>
      </c>
      <c r="D3" s="12">
        <f>getStockPrice(B3)</f>
        <v>1849.97</v>
      </c>
      <c r="G3" s="1"/>
      <c r="H3" s="6"/>
      <c r="L3" s="1"/>
      <c r="M3" s="2"/>
      <c r="N3" s="1"/>
      <c r="O3" s="2"/>
    </row>
    <row r="4" spans="2:15" x14ac:dyDescent="0.25">
      <c r="B4" s="5" t="s">
        <v>1</v>
      </c>
      <c r="C4" s="5" t="str">
        <f>getStockName(B4)</f>
        <v>平安银行</v>
      </c>
      <c r="D4" s="12">
        <f t="shared" ref="D4" si="0">getStockPrice(B4)</f>
        <v>17.100000000000001</v>
      </c>
      <c r="G4" s="1"/>
      <c r="H4" s="6"/>
      <c r="L4" s="1"/>
      <c r="M4" s="2"/>
      <c r="N4" s="1"/>
      <c r="O4" s="2"/>
    </row>
    <row r="5" spans="2:15" x14ac:dyDescent="0.25">
      <c r="B5" s="4" t="s">
        <v>3</v>
      </c>
      <c r="C5" s="4" t="str">
        <f>getHKStockName(B5)</f>
        <v>融创中国</v>
      </c>
      <c r="D5" s="13">
        <f>getHKStockPrice(B5)</f>
        <v>10.98</v>
      </c>
      <c r="G5" s="1"/>
      <c r="H5" s="6"/>
      <c r="L5" s="7"/>
      <c r="M5" s="2"/>
      <c r="N5" s="1"/>
      <c r="O5" s="2"/>
    </row>
    <row r="6" spans="2:15" x14ac:dyDescent="0.25">
      <c r="B6" s="10" t="s">
        <v>9</v>
      </c>
      <c r="C6" s="10" t="str">
        <f t="shared" ref="C6" si="1">getStockName(B6)</f>
        <v>京东</v>
      </c>
      <c r="D6" s="14">
        <f>getUSStockPrice(B6)</f>
        <v>73.98</v>
      </c>
      <c r="F6" s="6"/>
    </row>
    <row r="7" spans="2:15" x14ac:dyDescent="0.25">
      <c r="B7" s="10" t="s">
        <v>16</v>
      </c>
      <c r="C7" s="10" t="str">
        <f>getFutureName(B7)</f>
        <v>豆粕连续</v>
      </c>
      <c r="D7" s="14">
        <f>getFuturePrice(B7)</f>
        <v>3764</v>
      </c>
      <c r="F7" s="6"/>
    </row>
    <row r="8" spans="2:15" x14ac:dyDescent="0.25">
      <c r="C8" s="11" t="s">
        <v>10</v>
      </c>
      <c r="D8" s="15">
        <f>GetExchangeRate("USD","HKD")</f>
        <v>0.12820000000000001</v>
      </c>
      <c r="F8" s="6"/>
    </row>
    <row r="9" spans="2:15" x14ac:dyDescent="0.25">
      <c r="F9" s="6"/>
    </row>
    <row r="10" spans="2:15" x14ac:dyDescent="0.25">
      <c r="F10" s="6"/>
    </row>
    <row r="11" spans="2:15" x14ac:dyDescent="0.25">
      <c r="B11" s="1" t="s">
        <v>5</v>
      </c>
      <c r="F11" s="6"/>
    </row>
    <row r="12" spans="2:15" x14ac:dyDescent="0.25">
      <c r="B12" s="1" t="s">
        <v>6</v>
      </c>
      <c r="F12" s="6"/>
    </row>
    <row r="13" spans="2:15" x14ac:dyDescent="0.25">
      <c r="B13" s="1" t="s">
        <v>7</v>
      </c>
    </row>
    <row r="14" spans="2:15" x14ac:dyDescent="0.25">
      <c r="B14" s="1" t="s">
        <v>8</v>
      </c>
    </row>
    <row r="16" spans="2:15" x14ac:dyDescent="0.25">
      <c r="B16" s="1" t="s">
        <v>13</v>
      </c>
      <c r="C16" s="1" t="s">
        <v>15</v>
      </c>
    </row>
    <row r="17" spans="2:3" x14ac:dyDescent="0.25">
      <c r="C17" s="1" t="s">
        <v>14</v>
      </c>
    </row>
    <row r="18" spans="2:3" x14ac:dyDescent="0.25">
      <c r="C18" s="1" t="s">
        <v>11</v>
      </c>
    </row>
    <row r="19" spans="2:3" x14ac:dyDescent="0.25">
      <c r="C19" s="1" t="s">
        <v>12</v>
      </c>
    </row>
    <row r="21" spans="2:3" x14ac:dyDescent="0.25">
      <c r="B21" s="1" t="s">
        <v>17</v>
      </c>
      <c r="C21" s="1" t="s">
        <v>18</v>
      </c>
    </row>
    <row r="22" spans="2:3" x14ac:dyDescent="0.25">
      <c r="C22" s="1" t="s">
        <v>19</v>
      </c>
    </row>
    <row r="23" spans="2:3" x14ac:dyDescent="0.25">
      <c r="C23" s="1" t="s">
        <v>20</v>
      </c>
    </row>
    <row r="24" spans="2:3" x14ac:dyDescent="0.25">
      <c r="B24" s="1" t="s">
        <v>21</v>
      </c>
      <c r="C24" s="1" t="s">
        <v>22</v>
      </c>
    </row>
    <row r="43" spans="7:7" x14ac:dyDescent="0.25">
      <c r="G43" s="1"/>
    </row>
  </sheetData>
  <customSheetViews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1"/>
    </customSheetView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2022-02-15T12:01:01Z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