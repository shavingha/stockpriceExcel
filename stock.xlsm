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stockpriceExcel\"/>
    </mc:Choice>
  </mc:AlternateContent>
  <xr:revisionPtr revIDLastSave="0" documentId="13_ncr:1_{000FA591-3D08-4F1A-AEC9-FA52DA25EC87}" xr6:coauthVersionLast="47" xr6:coauthVersionMax="47" xr10:uidLastSave="{00000000-0000-0000-0000-000000000000}"/>
  <bookViews>
    <workbookView xWindow="-120" yWindow="-120" windowWidth="38640" windowHeight="21120" tabRatio="500" xr2:uid="{00000000-000D-0000-FFFF-FFFF00000000}"/>
  </bookViews>
  <sheets>
    <sheet name="股价" sheetId="1" r:id="rId1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dd_numbe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cn_index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fund_nav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hk_index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hk_index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index_dai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t_stock_daily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4" i="1" l="1" a="1"/>
  <c r="D14" i="1"/>
  <c r="D13" i="1" a="1"/>
  <c r="D13" i="1"/>
  <c r="D21" i="1" a="1"/>
  <c r="D21" i="1"/>
  <c r="D20" i="1" a="1"/>
  <c r="D20" i="1"/>
  <c r="D9" i="1" a="1"/>
  <c r="D9" i="1"/>
  <c r="D8" i="1" a="1"/>
  <c r="D8" i="1"/>
  <c r="D7" i="1" a="1"/>
  <c r="D7" i="1"/>
  <c r="D6" i="1" a="1"/>
  <c r="D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<sst xmlns="http://schemas.openxmlformats.org/spreadsheetml/2006/main" count="19" uniqueCount="19">
  <si>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日期</t>
    <phoneticPr fontId="1" type="noConversion"/>
  </si>
  <si>
    <t>代码</t>
    <phoneticPr fontId="1" type="noConversion"/>
  </si>
  <si>
    <t>香港指数</t>
    <phoneticPr fontId="1" type="noConversion"/>
  </si>
  <si>
    <t>上证指数</t>
    <phoneticPr fontId="1" type="noConversion"/>
  </si>
  <si>
    <t>399976.SZ</t>
    <phoneticPr fontId="1" type="noConversion"/>
  </si>
  <si>
    <t>000815.SH</t>
    <phoneticPr fontId="1" type="noConversion"/>
  </si>
  <si>
    <t>HSIII.HK</t>
    <phoneticPr fontId="1" type="noConversion"/>
  </si>
  <si>
    <t>931574.CSI</t>
    <phoneticPr fontId="1" type="noConversion"/>
  </si>
  <si>
    <t>基金净值</t>
    <phoneticPr fontId="1" type="noConversion"/>
  </si>
  <si>
    <t>164906.SZ</t>
    <phoneticPr fontId="1" type="noConversion"/>
  </si>
  <si>
    <t>517050.SH</t>
    <phoneticPr fontId="1" type="noConversion"/>
  </si>
  <si>
    <t>指数日行情</t>
    <phoneticPr fontId="1" type="noConversion"/>
  </si>
  <si>
    <t>深证指数</t>
    <phoneticPr fontId="1" type="noConversion"/>
  </si>
  <si>
    <t>中证指数</t>
    <phoneticPr fontId="1" type="noConversion"/>
  </si>
  <si>
    <t>LOF</t>
    <phoneticPr fontId="1" type="noConversion"/>
  </si>
  <si>
    <t>ETF</t>
    <phoneticPr fontId="1" type="noConversion"/>
  </si>
  <si>
    <t>股票日行情</t>
    <phoneticPr fontId="1" type="noConversion"/>
  </si>
  <si>
    <t>000001.SZ</t>
    <phoneticPr fontId="1" type="noConversion"/>
  </si>
  <si>
    <t>600519.SH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</si>
</sst>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常规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D21"/>
  <sheetViews>
    <sheetView tabSelected="1" topLeftCell="A4" workbookViewId="0">
      <selection activeCell="D15" sqref="D15"/>
    </sheetView>
  </sheetViews>
  <sheetFormatPr defaultColWidth="11" defaultRowHeight="14.25" x14ac:dyDescent="0.15"/>
  <cols>
    <col min="2" max="2" width="11" style="2"/>
  </cols>
  <sheetData>
    <row r="5" spans="1:4" x14ac:dyDescent="0.15">
      <c r="A5" t="s">
        <v>11</v>
      </c>
      <c r="B5" s="2" t="s">
        <v>1</v>
      </c>
      <c r="C5" t="s">
        <v>0</v>
      </c>
    </row>
    <row r="6" spans="1:4" x14ac:dyDescent="0.15">
      <c r="A6" t="s">
        <v>2</v>
      </c>
      <c r="B6" s="2" t="s">
        <v>6</v>
      </c>
      <c r="C6" s="1">
        <v>45706</v>
      </c>
      <c r="D6" cm="1">
        <f t="array" ref="D6">get_index_daily(B6,C6)</f>
        <v>2921.5</v>
      </c>
    </row>
    <row r="7" spans="1:4" x14ac:dyDescent="0.15">
      <c r="A7" t="s">
        <v>3</v>
      </c>
      <c r="B7" s="2" t="s">
        <v>5</v>
      </c>
      <c r="C7" s="1">
        <v>45706</v>
      </c>
      <c r="D7" cm="1">
        <f t="array" ref="D7">get_index_daily(B7,C7)</f>
        <v>19879.82</v>
      </c>
    </row>
    <row r="8" spans="1:4" x14ac:dyDescent="0.15">
      <c r="A8" t="s">
        <v>12</v>
      </c>
      <c r="B8" s="2" t="s">
        <v>4</v>
      </c>
      <c r="C8" s="1">
        <v>45706</v>
      </c>
      <c r="D8" cm="1">
        <f t="array" ref="D8">get_index_daily(B8,C8)</f>
        <v>3096.21</v>
      </c>
    </row>
    <row r="9" spans="1:4" x14ac:dyDescent="0.15">
      <c r="A9" t="s">
        <v>13</v>
      </c>
      <c r="B9" s="2" t="s">
        <v>7</v>
      </c>
      <c r="C9" s="1">
        <v>45706</v>
      </c>
      <c r="D9" cm="1">
        <f t="array" ref="D9">get_index_daily(B9,C9)</f>
        <v>1707.54</v>
      </c>
    </row>
    <row r="12" spans="1:4" x14ac:dyDescent="0.15">
      <c r="A12" t="s">
        <v>16</v>
      </c>
    </row>
    <row r="13" spans="1:4" x14ac:dyDescent="0.15">
      <c r="B13" s="2" t="s">
        <v>17</v>
      </c>
      <c r="C13" s="1">
        <v>45706</v>
      </c>
      <c r="D13" cm="1">
        <f t="array" ref="D13">get_stock_daily(B13,C13)</f>
        <v>11.81</v>
      </c>
    </row>
    <row r="14" spans="1:4" x14ac:dyDescent="0.15">
      <c r="B14" s="2" t="s">
        <v>18</v>
      </c>
      <c r="C14" s="1">
        <v>45706</v>
      </c>
      <c r="D14" cm="1">
        <f t="array" ref="D14">get_stock_daily(B14,C14)</f>
        <v>1475</v>
      </c>
    </row>
    <row r="19" spans="1:4" x14ac:dyDescent="0.15">
      <c r="A19" t="s">
        <v>8</v>
      </c>
    </row>
    <row r="20" spans="1:4" x14ac:dyDescent="0.15">
      <c r="A20" t="s">
        <v>14</v>
      </c>
      <c r="B20" s="2" t="s">
        <v>9</v>
      </c>
      <c r="C20" s="1">
        <v>45702</v>
      </c>
      <c r="D20" cm="1">
        <f t="array" ref="D20">get_fund_nav_daily(B20,C20)</f>
        <v>1.2601</v>
      </c>
    </row>
    <row r="21" spans="1:4" x14ac:dyDescent="0.15">
      <c r="A21" t="s">
        <v>15</v>
      </c>
      <c r="B21" s="2" t="s">
        <v>10</v>
      </c>
      <c r="C21" s="1">
        <v>45702</v>
      </c>
      <c r="D21" cm="1">
        <f t="array" ref="D21">get_fund_nav_daily(B21,C21)</f>
        <v>0.86099999999999999</v>
      </c>
    </row>
  </sheetData>
  <phoneticPr fontId="1" type="noConversion"/>
  <pageMargins left="0.75" right="0.75" top="1" bottom="1" header="0.5" footer="0.5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股价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述维 夏</cp:lastModifiedBy>
  <dcterms:created xsi:type="dcterms:W3CDTF">2015-01-25T11:31:25Z</dcterms:created>
  <dcterms:modified xsi:type="dcterms:W3CDTF">2025-02-19T15:17:15Z</dcterms:modified>
</cp:coreProperties>
</file>